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91A91D8-5216-40F2-ACD8-F08F4B13B71C}" xr6:coauthVersionLast="47" xr6:coauthVersionMax="47" xr10:uidLastSave="{00000000-0000-0000-0000-000000000000}"/>
  <bookViews>
    <workbookView xWindow="-110" yWindow="-110" windowWidth="19420" windowHeight="10300" activeTab="8" xr2:uid="{F124B7CD-9E21-417F-BD01-649CCBC98CDF}"/>
  </bookViews>
  <sheets>
    <sheet name="IS" sheetId="1" r:id="rId1"/>
    <sheet name="Revenue Model" sheetId="3" r:id="rId2"/>
    <sheet name="Expense" sheetId="5" r:id="rId3"/>
    <sheet name="CFS" sheetId="9" r:id="rId4"/>
    <sheet name="Revised IS" sheetId="2" r:id="rId5"/>
    <sheet name="BS" sheetId="6" r:id="rId6"/>
    <sheet name="BS shcedule" sheetId="8" r:id="rId7"/>
    <sheet name="Debt" sheetId="11" r:id="rId8"/>
    <sheet name="Dcf Model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5" l="1"/>
  <c r="C27" i="1"/>
  <c r="G29" i="5"/>
  <c r="H29" i="5"/>
  <c r="I29" i="5"/>
  <c r="J29" i="5"/>
  <c r="K29" i="5"/>
  <c r="G28" i="5"/>
  <c r="H28" i="5"/>
  <c r="I28" i="5"/>
  <c r="J28" i="5"/>
  <c r="K28" i="5"/>
  <c r="F29" i="5"/>
  <c r="F28" i="5"/>
  <c r="C26" i="5"/>
  <c r="C27" i="5"/>
  <c r="C28" i="5"/>
  <c r="C29" i="5"/>
  <c r="E26" i="5"/>
  <c r="E27" i="5"/>
  <c r="E28" i="5"/>
  <c r="E29" i="5"/>
  <c r="C43" i="12"/>
  <c r="C47" i="12"/>
  <c r="C48" i="12" s="1"/>
  <c r="C52" i="12"/>
  <c r="C55" i="12"/>
  <c r="C56" i="12" s="1"/>
  <c r="C58" i="12"/>
  <c r="C59" i="12"/>
  <c r="C60" i="12"/>
  <c r="D26" i="5"/>
  <c r="D27" i="5"/>
  <c r="D28" i="5"/>
  <c r="D29" i="5"/>
  <c r="G27" i="5" l="1"/>
  <c r="H27" i="5" s="1"/>
  <c r="C62" i="12"/>
  <c r="C30" i="12" s="1"/>
  <c r="C33" i="12"/>
  <c r="C50" i="12"/>
  <c r="I27" i="5" l="1"/>
  <c r="J27" i="5" s="1"/>
  <c r="K27" i="5" s="1"/>
  <c r="C64" i="12"/>
  <c r="C65" i="12" s="1"/>
  <c r="C67" i="12" s="1"/>
  <c r="G46" i="6" l="1"/>
  <c r="H46" i="6"/>
  <c r="I46" i="6"/>
  <c r="J46" i="6"/>
  <c r="K46" i="6"/>
  <c r="F15" i="6"/>
  <c r="G21" i="12"/>
  <c r="H21" i="12" s="1"/>
  <c r="I21" i="12" s="1"/>
  <c r="J21" i="12" s="1"/>
  <c r="K21" i="12" s="1"/>
  <c r="E51" i="12"/>
  <c r="E52" i="12" s="1"/>
  <c r="G12" i="3"/>
  <c r="H12" i="3"/>
  <c r="I12" i="3"/>
  <c r="J12" i="3"/>
  <c r="K12" i="3"/>
  <c r="F12" i="3"/>
  <c r="C65" i="6" l="1"/>
  <c r="D65" i="6"/>
  <c r="E65" i="6"/>
  <c r="F36" i="9"/>
  <c r="I31" i="9"/>
  <c r="J31" i="9"/>
  <c r="K31" i="9"/>
  <c r="I19" i="2"/>
  <c r="I18" i="1" s="1"/>
  <c r="J19" i="2"/>
  <c r="J18" i="1" s="1"/>
  <c r="K19" i="2"/>
  <c r="K18" i="1" s="1"/>
  <c r="G55" i="6"/>
  <c r="H55" i="6"/>
  <c r="I55" i="6"/>
  <c r="J55" i="6"/>
  <c r="K55" i="6"/>
  <c r="J51" i="6"/>
  <c r="K51" i="6"/>
  <c r="G22" i="11"/>
  <c r="F46" i="6" s="1"/>
  <c r="F51" i="6" s="1"/>
  <c r="C13" i="11"/>
  <c r="D13" i="11"/>
  <c r="E13" i="11"/>
  <c r="F16" i="11" s="1"/>
  <c r="C20" i="11"/>
  <c r="D20" i="11"/>
  <c r="E20" i="11"/>
  <c r="F9" i="11"/>
  <c r="D6" i="11"/>
  <c r="E6" i="11" s="1"/>
  <c r="F6" i="11" s="1"/>
  <c r="G6" i="11" s="1"/>
  <c r="H6" i="11" s="1"/>
  <c r="I6" i="11" s="1"/>
  <c r="J6" i="11" s="1"/>
  <c r="K6" i="11" s="1"/>
  <c r="I22" i="9"/>
  <c r="I15" i="12" s="1"/>
  <c r="J22" i="9"/>
  <c r="J15" i="12" s="1"/>
  <c r="K22" i="9"/>
  <c r="K15" i="12" s="1"/>
  <c r="G10" i="9"/>
  <c r="H10" i="9"/>
  <c r="I10" i="9"/>
  <c r="J10" i="9"/>
  <c r="K10" i="9"/>
  <c r="G17" i="9"/>
  <c r="H17" i="9"/>
  <c r="I17" i="9"/>
  <c r="J17" i="9"/>
  <c r="K17" i="9"/>
  <c r="C32" i="6"/>
  <c r="D32" i="6"/>
  <c r="E32" i="6"/>
  <c r="C41" i="6"/>
  <c r="D41" i="6"/>
  <c r="E41" i="6"/>
  <c r="F38" i="6"/>
  <c r="G38" i="6" s="1"/>
  <c r="H38" i="6" s="1"/>
  <c r="I38" i="6" s="1"/>
  <c r="J38" i="6" s="1"/>
  <c r="K38" i="6" s="1"/>
  <c r="C51" i="6"/>
  <c r="D51" i="6"/>
  <c r="E51" i="6"/>
  <c r="G51" i="6"/>
  <c r="H51" i="6"/>
  <c r="I51" i="6"/>
  <c r="F56" i="6"/>
  <c r="G56" i="6" s="1"/>
  <c r="H56" i="6" s="1"/>
  <c r="I56" i="6" s="1"/>
  <c r="J56" i="6" s="1"/>
  <c r="K56" i="6" s="1"/>
  <c r="F17" i="9"/>
  <c r="F10" i="9"/>
  <c r="H31" i="9" l="1"/>
  <c r="E22" i="11"/>
  <c r="F20" i="11"/>
  <c r="D22" i="11"/>
  <c r="E25" i="11" s="1"/>
  <c r="F25" i="11" s="1"/>
  <c r="G25" i="11" s="1"/>
  <c r="H25" i="11" s="1"/>
  <c r="C22" i="11"/>
  <c r="E67" i="6"/>
  <c r="E69" i="6" s="1"/>
  <c r="E71" i="6" s="1"/>
  <c r="D67" i="6"/>
  <c r="D69" i="6" s="1"/>
  <c r="D71" i="6" s="1"/>
  <c r="C67" i="6"/>
  <c r="C69" i="6" s="1"/>
  <c r="C71" i="6" s="1"/>
  <c r="F13" i="11"/>
  <c r="F22" i="11" l="1"/>
  <c r="F31" i="9" s="1"/>
  <c r="G16" i="11"/>
  <c r="F55" i="6"/>
  <c r="I25" i="11"/>
  <c r="J25" i="11" s="1"/>
  <c r="K25" i="11" s="1"/>
  <c r="H24" i="11"/>
  <c r="H19" i="2" s="1"/>
  <c r="H18" i="1" s="1"/>
  <c r="D6" i="9"/>
  <c r="E6" i="9" s="1"/>
  <c r="F6" i="9" s="1"/>
  <c r="G6" i="9" s="1"/>
  <c r="H6" i="9" s="1"/>
  <c r="I6" i="9" s="1"/>
  <c r="J6" i="9" s="1"/>
  <c r="K6" i="9" s="1"/>
  <c r="F13" i="8"/>
  <c r="F15" i="8" s="1"/>
  <c r="F20" i="8" s="1"/>
  <c r="D72" i="6"/>
  <c r="C72" i="6"/>
  <c r="E72" i="6"/>
  <c r="G28" i="6"/>
  <c r="H28" i="6"/>
  <c r="I28" i="6"/>
  <c r="J28" i="6"/>
  <c r="K28" i="6"/>
  <c r="F28" i="6"/>
  <c r="F30" i="6"/>
  <c r="G30" i="6" s="1"/>
  <c r="H30" i="6" s="1"/>
  <c r="I30" i="6" s="1"/>
  <c r="J30" i="6" s="1"/>
  <c r="K30" i="6" s="1"/>
  <c r="F29" i="6"/>
  <c r="G29" i="6" s="1"/>
  <c r="H29" i="6" s="1"/>
  <c r="I29" i="6" s="1"/>
  <c r="J29" i="6" s="1"/>
  <c r="K29" i="6" s="1"/>
  <c r="F27" i="6"/>
  <c r="D9" i="8"/>
  <c r="E9" i="8"/>
  <c r="C9" i="8"/>
  <c r="C72" i="8"/>
  <c r="D72" i="8"/>
  <c r="E72" i="8"/>
  <c r="C71" i="8"/>
  <c r="D71" i="8"/>
  <c r="E71" i="8"/>
  <c r="C70" i="8"/>
  <c r="D70" i="8"/>
  <c r="E70" i="8"/>
  <c r="G15" i="6"/>
  <c r="H15" i="6" s="1"/>
  <c r="I15" i="6" s="1"/>
  <c r="J15" i="6" s="1"/>
  <c r="K15" i="6" s="1"/>
  <c r="F16" i="6"/>
  <c r="G16" i="6" s="1"/>
  <c r="H16" i="6" s="1"/>
  <c r="I16" i="6" s="1"/>
  <c r="J16" i="6" s="1"/>
  <c r="K16" i="6" s="1"/>
  <c r="F17" i="6"/>
  <c r="G17" i="6" s="1"/>
  <c r="H17" i="6" s="1"/>
  <c r="I17" i="6" s="1"/>
  <c r="J17" i="6" s="1"/>
  <c r="K17" i="6" s="1"/>
  <c r="F18" i="6"/>
  <c r="G18" i="6" s="1"/>
  <c r="H18" i="6" s="1"/>
  <c r="I18" i="6" s="1"/>
  <c r="J18" i="6" s="1"/>
  <c r="K18" i="6" s="1"/>
  <c r="D63" i="8"/>
  <c r="C63" i="8"/>
  <c r="E63" i="8"/>
  <c r="C58" i="8"/>
  <c r="F54" i="8"/>
  <c r="F50" i="8"/>
  <c r="D58" i="8"/>
  <c r="E58" i="8"/>
  <c r="D46" i="8"/>
  <c r="C46" i="8"/>
  <c r="E46" i="8"/>
  <c r="F39" i="8"/>
  <c r="F35" i="8"/>
  <c r="D43" i="8"/>
  <c r="C43" i="8"/>
  <c r="E43" i="8"/>
  <c r="F30" i="8"/>
  <c r="G30" i="8"/>
  <c r="H30" i="8"/>
  <c r="I30" i="8"/>
  <c r="J30" i="8"/>
  <c r="K30" i="8"/>
  <c r="D30" i="8"/>
  <c r="C30" i="8"/>
  <c r="E30" i="8"/>
  <c r="C8" i="8"/>
  <c r="C45" i="8" s="1"/>
  <c r="D8" i="8"/>
  <c r="D29" i="8" s="1"/>
  <c r="E8" i="8"/>
  <c r="E29" i="8" s="1"/>
  <c r="F23" i="8"/>
  <c r="D6" i="8"/>
  <c r="E6" i="8" s="1"/>
  <c r="F6" i="8" s="1"/>
  <c r="G6" i="8" s="1"/>
  <c r="H6" i="8" s="1"/>
  <c r="I6" i="8" s="1"/>
  <c r="J6" i="8" s="1"/>
  <c r="K6" i="8" s="1"/>
  <c r="D6" i="6"/>
  <c r="E6" i="6" s="1"/>
  <c r="F6" i="6" s="1"/>
  <c r="G6" i="6" s="1"/>
  <c r="H6" i="6" s="1"/>
  <c r="I6" i="6" s="1"/>
  <c r="J6" i="6" s="1"/>
  <c r="K6" i="6" s="1"/>
  <c r="D6" i="5"/>
  <c r="E6" i="5" s="1"/>
  <c r="F6" i="5" s="1"/>
  <c r="G6" i="5" s="1"/>
  <c r="H6" i="5" s="1"/>
  <c r="I6" i="5" s="1"/>
  <c r="J6" i="5" s="1"/>
  <c r="K6" i="5" s="1"/>
  <c r="D46" i="3"/>
  <c r="E46" i="3"/>
  <c r="C46" i="3"/>
  <c r="D44" i="3"/>
  <c r="E44" i="3"/>
  <c r="C44" i="3"/>
  <c r="F27" i="3"/>
  <c r="G27" i="3" s="1"/>
  <c r="H27" i="3" s="1"/>
  <c r="F26" i="3"/>
  <c r="G26" i="3" s="1"/>
  <c r="H26" i="3" s="1"/>
  <c r="I26" i="3" s="1"/>
  <c r="J26" i="3" s="1"/>
  <c r="K26" i="3" s="1"/>
  <c r="C32" i="3"/>
  <c r="D32" i="3"/>
  <c r="E32" i="3"/>
  <c r="F32" i="3" s="1"/>
  <c r="G32" i="3" s="1"/>
  <c r="H32" i="3" s="1"/>
  <c r="I32" i="3" s="1"/>
  <c r="J32" i="3" s="1"/>
  <c r="K32" i="3" s="1"/>
  <c r="D31" i="3"/>
  <c r="E31" i="3"/>
  <c r="E36" i="3" s="1"/>
  <c r="C31" i="3"/>
  <c r="E41" i="3"/>
  <c r="E42" i="3"/>
  <c r="D42" i="3"/>
  <c r="D41" i="3"/>
  <c r="D6" i="3"/>
  <c r="E6" i="3" s="1"/>
  <c r="F6" i="3" s="1"/>
  <c r="G6" i="3" s="1"/>
  <c r="H6" i="3" s="1"/>
  <c r="I6" i="3" s="1"/>
  <c r="J6" i="3" s="1"/>
  <c r="K6" i="3" s="1"/>
  <c r="C20" i="2"/>
  <c r="D20" i="2"/>
  <c r="E20" i="2"/>
  <c r="F20" i="2" s="1"/>
  <c r="C19" i="2"/>
  <c r="D19" i="2"/>
  <c r="E19" i="2"/>
  <c r="C16" i="2"/>
  <c r="D16" i="2"/>
  <c r="E16" i="2"/>
  <c r="C13" i="2"/>
  <c r="D13" i="2"/>
  <c r="E13" i="2"/>
  <c r="C12" i="2"/>
  <c r="D12" i="2"/>
  <c r="E12" i="2"/>
  <c r="D9" i="2"/>
  <c r="E9" i="2"/>
  <c r="C9" i="2"/>
  <c r="C8" i="2"/>
  <c r="C8" i="5" s="1"/>
  <c r="C19" i="5" s="1"/>
  <c r="D8" i="2"/>
  <c r="D8" i="5" s="1"/>
  <c r="D20" i="5" s="1"/>
  <c r="E8" i="2"/>
  <c r="E8" i="5" s="1"/>
  <c r="E20" i="5" s="1"/>
  <c r="D6" i="2"/>
  <c r="E6" i="2" s="1"/>
  <c r="F6" i="2" s="1"/>
  <c r="G6" i="2" s="1"/>
  <c r="H6" i="2" s="1"/>
  <c r="I6" i="2" s="1"/>
  <c r="J6" i="2" s="1"/>
  <c r="K6" i="2" s="1"/>
  <c r="C23" i="2"/>
  <c r="D27" i="1"/>
  <c r="D23" i="2" s="1"/>
  <c r="E27" i="1"/>
  <c r="E23" i="2" s="1"/>
  <c r="C23" i="1"/>
  <c r="D23" i="1"/>
  <c r="E23" i="1"/>
  <c r="C11" i="1"/>
  <c r="D11" i="1"/>
  <c r="E11" i="1"/>
  <c r="D6" i="1"/>
  <c r="E6" i="1" s="1"/>
  <c r="F6" i="1" s="1"/>
  <c r="G6" i="1" s="1"/>
  <c r="H6" i="1" s="1"/>
  <c r="I6" i="1" s="1"/>
  <c r="J6" i="1" s="1"/>
  <c r="K6" i="1" s="1"/>
  <c r="G31" i="9" l="1"/>
  <c r="F24" i="11"/>
  <c r="F19" i="2" s="1"/>
  <c r="F18" i="1" s="1"/>
  <c r="E37" i="3"/>
  <c r="G20" i="2"/>
  <c r="F10" i="1"/>
  <c r="D11" i="2"/>
  <c r="D15" i="2" s="1"/>
  <c r="D18" i="2" s="1"/>
  <c r="D22" i="2" s="1"/>
  <c r="D15" i="5" s="1"/>
  <c r="G24" i="11"/>
  <c r="G19" i="2" s="1"/>
  <c r="G18" i="1" s="1"/>
  <c r="E11" i="2"/>
  <c r="E15" i="2" s="1"/>
  <c r="E18" i="2" s="1"/>
  <c r="E22" i="2" s="1"/>
  <c r="E25" i="2" s="1"/>
  <c r="E36" i="2" s="1"/>
  <c r="F36" i="2" s="1"/>
  <c r="G36" i="2" s="1"/>
  <c r="H36" i="2" s="1"/>
  <c r="I36" i="2" s="1"/>
  <c r="J36" i="2" s="1"/>
  <c r="K36" i="2" s="1"/>
  <c r="D37" i="3"/>
  <c r="C11" i="2"/>
  <c r="C15" i="2" s="1"/>
  <c r="C18" i="2" s="1"/>
  <c r="C22" i="2" s="1"/>
  <c r="C15" i="5" s="1"/>
  <c r="F22" i="3"/>
  <c r="D36" i="3"/>
  <c r="H22" i="3"/>
  <c r="I27" i="3"/>
  <c r="G46" i="3"/>
  <c r="H46" i="3"/>
  <c r="F46" i="3"/>
  <c r="I46" i="3"/>
  <c r="K46" i="3"/>
  <c r="J46" i="3"/>
  <c r="I44" i="3"/>
  <c r="K44" i="3"/>
  <c r="J44" i="3"/>
  <c r="F44" i="3"/>
  <c r="G44" i="3"/>
  <c r="H44" i="3"/>
  <c r="F31" i="3"/>
  <c r="G31" i="3" s="1"/>
  <c r="H31" i="3" s="1"/>
  <c r="I31" i="3" s="1"/>
  <c r="J31" i="3" s="1"/>
  <c r="K31" i="3" s="1"/>
  <c r="K21" i="3" s="1"/>
  <c r="G22" i="3"/>
  <c r="F72" i="6"/>
  <c r="G72" i="6" s="1"/>
  <c r="H72" i="6" s="1"/>
  <c r="I72" i="6" s="1"/>
  <c r="J72" i="6" s="1"/>
  <c r="K72" i="6" s="1"/>
  <c r="F14" i="9"/>
  <c r="G27" i="6"/>
  <c r="G14" i="9" s="1"/>
  <c r="E21" i="5"/>
  <c r="C21" i="5"/>
  <c r="C20" i="5"/>
  <c r="D21" i="5"/>
  <c r="E19" i="5"/>
  <c r="D19" i="5"/>
  <c r="C76" i="8"/>
  <c r="C74" i="8"/>
  <c r="D75" i="8"/>
  <c r="E78" i="8"/>
  <c r="E76" i="8"/>
  <c r="D61" i="8"/>
  <c r="D78" i="8"/>
  <c r="C78" i="8"/>
  <c r="C61" i="8"/>
  <c r="C80" i="8"/>
  <c r="E75" i="8"/>
  <c r="D79" i="8"/>
  <c r="E80" i="8"/>
  <c r="E74" i="8"/>
  <c r="D76" i="8"/>
  <c r="D74" i="8"/>
  <c r="C79" i="8"/>
  <c r="D80" i="8"/>
  <c r="C75" i="8"/>
  <c r="E79" i="8"/>
  <c r="E61" i="8"/>
  <c r="C29" i="8"/>
  <c r="F29" i="8" s="1"/>
  <c r="E45" i="8"/>
  <c r="D45" i="8"/>
  <c r="E25" i="1"/>
  <c r="E29" i="1" s="1"/>
  <c r="D25" i="1"/>
  <c r="D29" i="1" s="1"/>
  <c r="C25" i="1"/>
  <c r="C29" i="1" s="1"/>
  <c r="H20" i="2" l="1"/>
  <c r="G10" i="1"/>
  <c r="E15" i="5"/>
  <c r="C25" i="2"/>
  <c r="D25" i="2"/>
  <c r="F21" i="3"/>
  <c r="F16" i="3" s="1"/>
  <c r="I21" i="3"/>
  <c r="H21" i="3"/>
  <c r="H16" i="3" s="1"/>
  <c r="H17" i="3" s="1"/>
  <c r="H10" i="3" s="1"/>
  <c r="H11" i="3" s="1"/>
  <c r="H9" i="1" s="1"/>
  <c r="J21" i="3"/>
  <c r="G21" i="3"/>
  <c r="G16" i="3" s="1"/>
  <c r="G17" i="3" s="1"/>
  <c r="G10" i="3" s="1"/>
  <c r="G11" i="3" s="1"/>
  <c r="G9" i="1" s="1"/>
  <c r="G11" i="1" s="1"/>
  <c r="I22" i="3"/>
  <c r="J27" i="3"/>
  <c r="H27" i="6"/>
  <c r="H14" i="9" s="1"/>
  <c r="I20" i="5"/>
  <c r="G20" i="5"/>
  <c r="J20" i="5"/>
  <c r="H20" i="5"/>
  <c r="F20" i="5"/>
  <c r="K20" i="5"/>
  <c r="J45" i="8"/>
  <c r="J29" i="8"/>
  <c r="H29" i="8"/>
  <c r="K29" i="8"/>
  <c r="I45" i="8"/>
  <c r="H45" i="8"/>
  <c r="I29" i="8"/>
  <c r="G29" i="8"/>
  <c r="G45" i="8"/>
  <c r="F45" i="8"/>
  <c r="K75" i="8"/>
  <c r="G75" i="8"/>
  <c r="J75" i="8"/>
  <c r="F75" i="8"/>
  <c r="H75" i="8"/>
  <c r="I75" i="8"/>
  <c r="K76" i="8"/>
  <c r="I76" i="8"/>
  <c r="F76" i="8"/>
  <c r="J76" i="8"/>
  <c r="G76" i="8"/>
  <c r="H76" i="8"/>
  <c r="F61" i="8"/>
  <c r="F74" i="8"/>
  <c r="K74" i="8" s="1"/>
  <c r="F21" i="8"/>
  <c r="G19" i="8" s="1"/>
  <c r="I20" i="2" l="1"/>
  <c r="H10" i="1"/>
  <c r="H11" i="1" s="1"/>
  <c r="J22" i="3"/>
  <c r="K27" i="3"/>
  <c r="K22" i="3" s="1"/>
  <c r="K16" i="3" s="1"/>
  <c r="G8" i="8"/>
  <c r="G14" i="8" s="1"/>
  <c r="G21" i="9" s="1"/>
  <c r="G14" i="12" s="1"/>
  <c r="I16" i="3"/>
  <c r="I17" i="3" s="1"/>
  <c r="I10" i="3" s="1"/>
  <c r="F17" i="3"/>
  <c r="F10" i="3" s="1"/>
  <c r="G8" i="2"/>
  <c r="G8" i="5" s="1"/>
  <c r="J16" i="3"/>
  <c r="I27" i="6"/>
  <c r="J27" i="6" s="1"/>
  <c r="G74" i="8"/>
  <c r="J74" i="8"/>
  <c r="I74" i="8"/>
  <c r="H74" i="8"/>
  <c r="H8" i="8"/>
  <c r="H14" i="8" s="1"/>
  <c r="H21" i="9" s="1"/>
  <c r="H14" i="12" s="1"/>
  <c r="H8" i="2"/>
  <c r="F24" i="8"/>
  <c r="F25" i="8" s="1"/>
  <c r="G23" i="8" s="1"/>
  <c r="G61" i="8"/>
  <c r="H61" i="8" s="1"/>
  <c r="G14" i="1" l="1"/>
  <c r="G16" i="1"/>
  <c r="G21" i="1"/>
  <c r="G15" i="1"/>
  <c r="J20" i="2"/>
  <c r="I10" i="1"/>
  <c r="I14" i="9"/>
  <c r="G10" i="11"/>
  <c r="F11" i="3"/>
  <c r="F9" i="1" s="1"/>
  <c r="H10" i="11"/>
  <c r="H8" i="5"/>
  <c r="K27" i="6"/>
  <c r="K14" i="9" s="1"/>
  <c r="J14" i="9"/>
  <c r="G71" i="8"/>
  <c r="G25" i="6" s="1"/>
  <c r="I11" i="3"/>
  <c r="I9" i="1" s="1"/>
  <c r="K17" i="3"/>
  <c r="K10" i="3" s="1"/>
  <c r="J17" i="3"/>
  <c r="J10" i="3" s="1"/>
  <c r="J11" i="3" s="1"/>
  <c r="J9" i="1" s="1"/>
  <c r="G11" i="5"/>
  <c r="G72" i="8" s="1"/>
  <c r="G12" i="5"/>
  <c r="G13" i="5"/>
  <c r="G51" i="8"/>
  <c r="F27" i="8"/>
  <c r="F10" i="6" s="1"/>
  <c r="G36" i="8"/>
  <c r="I61" i="8"/>
  <c r="H51" i="8"/>
  <c r="H23" i="9" s="1"/>
  <c r="H16" i="12" s="1"/>
  <c r="K45" i="8"/>
  <c r="H36" i="8"/>
  <c r="H22" i="9" s="1"/>
  <c r="H15" i="12" s="1"/>
  <c r="H13" i="5" l="1"/>
  <c r="H13" i="2" s="1"/>
  <c r="H21" i="1"/>
  <c r="H14" i="1"/>
  <c r="H16" i="1"/>
  <c r="H15" i="1"/>
  <c r="K20" i="2"/>
  <c r="K10" i="1" s="1"/>
  <c r="J10" i="1"/>
  <c r="J11" i="1" s="1"/>
  <c r="F8" i="2"/>
  <c r="F11" i="1"/>
  <c r="F8" i="8"/>
  <c r="H12" i="5"/>
  <c r="H12" i="2" s="1"/>
  <c r="G12" i="2"/>
  <c r="G17" i="1"/>
  <c r="G13" i="2"/>
  <c r="G20" i="1"/>
  <c r="H11" i="5"/>
  <c r="H70" i="8" s="1"/>
  <c r="H23" i="6" s="1"/>
  <c r="J8" i="2"/>
  <c r="J8" i="5" s="1"/>
  <c r="J8" i="8"/>
  <c r="J14" i="8" s="1"/>
  <c r="J21" i="9" s="1"/>
  <c r="J14" i="12" s="1"/>
  <c r="K11" i="3"/>
  <c r="K9" i="1"/>
  <c r="I8" i="2"/>
  <c r="I8" i="5" s="1"/>
  <c r="I8" i="8"/>
  <c r="I14" i="8" s="1"/>
  <c r="I21" i="9" s="1"/>
  <c r="I14" i="12" s="1"/>
  <c r="I11" i="1"/>
  <c r="G9" i="2"/>
  <c r="G11" i="2" s="1"/>
  <c r="G9" i="8"/>
  <c r="G70" i="8"/>
  <c r="G23" i="6" s="1"/>
  <c r="G22" i="9"/>
  <c r="G15" i="12" s="1"/>
  <c r="H25" i="9"/>
  <c r="G23" i="9"/>
  <c r="G16" i="12" s="1"/>
  <c r="H71" i="8"/>
  <c r="H78" i="8" s="1"/>
  <c r="G58" i="6"/>
  <c r="J61" i="8"/>
  <c r="H20" i="1" l="1"/>
  <c r="J16" i="1"/>
  <c r="J21" i="1"/>
  <c r="J14" i="1"/>
  <c r="J15" i="1"/>
  <c r="I16" i="1"/>
  <c r="I21" i="1"/>
  <c r="I14" i="1"/>
  <c r="I15" i="1"/>
  <c r="G15" i="2"/>
  <c r="H17" i="1"/>
  <c r="F8" i="5"/>
  <c r="F10" i="11"/>
  <c r="F14" i="8"/>
  <c r="F36" i="8"/>
  <c r="F51" i="8"/>
  <c r="H9" i="8"/>
  <c r="H79" i="8" s="1"/>
  <c r="H9" i="2"/>
  <c r="H11" i="2" s="1"/>
  <c r="H15" i="2" s="1"/>
  <c r="H72" i="8"/>
  <c r="H58" i="6" s="1"/>
  <c r="I10" i="11"/>
  <c r="K8" i="2"/>
  <c r="K8" i="5" s="1"/>
  <c r="K11" i="1"/>
  <c r="K8" i="8"/>
  <c r="K14" i="8" s="1"/>
  <c r="K21" i="9" s="1"/>
  <c r="K14" i="12" s="1"/>
  <c r="I51" i="8"/>
  <c r="I23" i="9" s="1"/>
  <c r="J71" i="8"/>
  <c r="J10" i="11"/>
  <c r="G25" i="9"/>
  <c r="G59" i="6"/>
  <c r="G65" i="6" s="1"/>
  <c r="G67" i="6" s="1"/>
  <c r="H12" i="9"/>
  <c r="H25" i="6"/>
  <c r="K61" i="8"/>
  <c r="J51" i="8"/>
  <c r="J23" i="9" s="1"/>
  <c r="K14" i="1" l="1"/>
  <c r="K16" i="1"/>
  <c r="K21" i="1"/>
  <c r="K15" i="1"/>
  <c r="F14" i="1"/>
  <c r="F21" i="1"/>
  <c r="F16" i="1"/>
  <c r="F15" i="1"/>
  <c r="H59" i="6"/>
  <c r="H65" i="6" s="1"/>
  <c r="H67" i="6" s="1"/>
  <c r="F22" i="9"/>
  <c r="F15" i="12" s="1"/>
  <c r="F37" i="8"/>
  <c r="F23" i="9"/>
  <c r="F16" i="12" s="1"/>
  <c r="F52" i="8"/>
  <c r="F21" i="9"/>
  <c r="F16" i="8"/>
  <c r="H80" i="8"/>
  <c r="F71" i="8"/>
  <c r="F13" i="5"/>
  <c r="F12" i="5"/>
  <c r="F11" i="5"/>
  <c r="I25" i="9"/>
  <c r="I16" i="12"/>
  <c r="J25" i="9"/>
  <c r="J16" i="12"/>
  <c r="K51" i="8"/>
  <c r="K23" i="9" s="1"/>
  <c r="K10" i="11"/>
  <c r="I11" i="5"/>
  <c r="I13" i="5"/>
  <c r="I71" i="8"/>
  <c r="I12" i="5"/>
  <c r="J12" i="5"/>
  <c r="J11" i="5"/>
  <c r="J13" i="5"/>
  <c r="H13" i="9"/>
  <c r="H12" i="12" s="1"/>
  <c r="J25" i="6"/>
  <c r="H16" i="9" l="1"/>
  <c r="H13" i="12" s="1"/>
  <c r="G50" i="8"/>
  <c r="G52" i="8" s="1"/>
  <c r="F55" i="8"/>
  <c r="F11" i="6"/>
  <c r="G13" i="8"/>
  <c r="F14" i="12"/>
  <c r="F25" i="9"/>
  <c r="F9" i="8"/>
  <c r="F9" i="2"/>
  <c r="F11" i="2" s="1"/>
  <c r="F72" i="8"/>
  <c r="F70" i="8"/>
  <c r="F25" i="6"/>
  <c r="G78" i="8"/>
  <c r="F78" i="8"/>
  <c r="F17" i="1"/>
  <c r="F12" i="2"/>
  <c r="F40" i="8"/>
  <c r="F41" i="8" s="1"/>
  <c r="G39" i="8" s="1"/>
  <c r="G41" i="8" s="1"/>
  <c r="H39" i="8" s="1"/>
  <c r="H41" i="8" s="1"/>
  <c r="I39" i="8" s="1"/>
  <c r="I41" i="8" s="1"/>
  <c r="J39" i="8" s="1"/>
  <c r="J41" i="8" s="1"/>
  <c r="K39" i="8" s="1"/>
  <c r="K41" i="8" s="1"/>
  <c r="G35" i="8"/>
  <c r="G37" i="8" s="1"/>
  <c r="F13" i="2"/>
  <c r="F20" i="1"/>
  <c r="J13" i="2"/>
  <c r="J20" i="1"/>
  <c r="J12" i="2"/>
  <c r="J17" i="1"/>
  <c r="I12" i="2"/>
  <c r="I17" i="1"/>
  <c r="I13" i="2"/>
  <c r="I20" i="1"/>
  <c r="K25" i="9"/>
  <c r="K16" i="12"/>
  <c r="I72" i="8"/>
  <c r="I9" i="2"/>
  <c r="I11" i="2" s="1"/>
  <c r="I9" i="8"/>
  <c r="I70" i="8"/>
  <c r="I23" i="6" s="1"/>
  <c r="I12" i="9" s="1"/>
  <c r="J9" i="8"/>
  <c r="J70" i="8"/>
  <c r="J23" i="6" s="1"/>
  <c r="J72" i="8"/>
  <c r="J58" i="6" s="1"/>
  <c r="J9" i="2"/>
  <c r="J11" i="2" s="1"/>
  <c r="K13" i="5"/>
  <c r="K12" i="5"/>
  <c r="K11" i="5"/>
  <c r="K71" i="8"/>
  <c r="I78" i="8"/>
  <c r="I25" i="6"/>
  <c r="I13" i="9" s="1"/>
  <c r="J78" i="8"/>
  <c r="F15" i="2" l="1"/>
  <c r="J15" i="2"/>
  <c r="G15" i="8"/>
  <c r="G20" i="8" s="1"/>
  <c r="G21" i="8" s="1"/>
  <c r="F13" i="9"/>
  <c r="G13" i="9"/>
  <c r="G55" i="8"/>
  <c r="H50" i="8"/>
  <c r="H52" i="8" s="1"/>
  <c r="I50" i="8" s="1"/>
  <c r="I52" i="8" s="1"/>
  <c r="F80" i="8"/>
  <c r="F79" i="8"/>
  <c r="F43" i="8"/>
  <c r="F13" i="6" s="1"/>
  <c r="F23" i="6"/>
  <c r="G79" i="8"/>
  <c r="H35" i="8"/>
  <c r="H37" i="8" s="1"/>
  <c r="G43" i="8"/>
  <c r="G13" i="6" s="1"/>
  <c r="F58" i="6"/>
  <c r="F59" i="6" s="1"/>
  <c r="F16" i="9" s="1"/>
  <c r="F13" i="12" s="1"/>
  <c r="G80" i="8"/>
  <c r="F56" i="8"/>
  <c r="F66" i="8"/>
  <c r="F16" i="2" s="1"/>
  <c r="K12" i="2"/>
  <c r="K17" i="1"/>
  <c r="I15" i="2"/>
  <c r="K13" i="2"/>
  <c r="K20" i="1"/>
  <c r="J12" i="9"/>
  <c r="I12" i="12"/>
  <c r="J13" i="9"/>
  <c r="J79" i="8"/>
  <c r="J80" i="8"/>
  <c r="K25" i="6"/>
  <c r="K13" i="9" s="1"/>
  <c r="K78" i="8"/>
  <c r="K9" i="8"/>
  <c r="K9" i="2"/>
  <c r="K11" i="2" s="1"/>
  <c r="K70" i="8"/>
  <c r="K23" i="6" s="1"/>
  <c r="K12" i="9" s="1"/>
  <c r="K72" i="8"/>
  <c r="I80" i="8"/>
  <c r="I79" i="8"/>
  <c r="J59" i="6"/>
  <c r="I58" i="6"/>
  <c r="I59" i="6" s="1"/>
  <c r="G16" i="8" l="1"/>
  <c r="H13" i="8" s="1"/>
  <c r="I55" i="8"/>
  <c r="J50" i="8"/>
  <c r="J52" i="8" s="1"/>
  <c r="F12" i="9"/>
  <c r="F12" i="12" s="1"/>
  <c r="G12" i="9"/>
  <c r="G12" i="12" s="1"/>
  <c r="G54" i="8"/>
  <c r="G56" i="8" s="1"/>
  <c r="F58" i="8"/>
  <c r="F12" i="6" s="1"/>
  <c r="F20" i="6" s="1"/>
  <c r="G24" i="8"/>
  <c r="H19" i="8"/>
  <c r="I35" i="8"/>
  <c r="I37" i="8" s="1"/>
  <c r="H43" i="8"/>
  <c r="H13" i="6" s="1"/>
  <c r="F11" i="12"/>
  <c r="F19" i="1"/>
  <c r="F23" i="1" s="1"/>
  <c r="F25" i="1" s="1"/>
  <c r="F9" i="9"/>
  <c r="G16" i="9"/>
  <c r="G13" i="12" s="1"/>
  <c r="F65" i="6"/>
  <c r="F67" i="6" s="1"/>
  <c r="H55" i="8"/>
  <c r="F18" i="2"/>
  <c r="K15" i="2"/>
  <c r="J12" i="12"/>
  <c r="K12" i="12"/>
  <c r="K79" i="8"/>
  <c r="K80" i="8"/>
  <c r="I16" i="9"/>
  <c r="I13" i="12" s="1"/>
  <c r="I65" i="6"/>
  <c r="I67" i="6" s="1"/>
  <c r="J16" i="9"/>
  <c r="J13" i="12" s="1"/>
  <c r="J65" i="6"/>
  <c r="J67" i="6" s="1"/>
  <c r="K58" i="6"/>
  <c r="K59" i="6" s="1"/>
  <c r="K16" i="9" s="1"/>
  <c r="K13" i="12" s="1"/>
  <c r="G11" i="6" l="1"/>
  <c r="F22" i="2"/>
  <c r="F14" i="5" s="1"/>
  <c r="F23" i="2" s="1"/>
  <c r="F8" i="12"/>
  <c r="F10" i="12" s="1"/>
  <c r="F18" i="12" s="1"/>
  <c r="F23" i="12" s="1"/>
  <c r="G66" i="8"/>
  <c r="G16" i="2" s="1"/>
  <c r="G25" i="8"/>
  <c r="H54" i="8"/>
  <c r="H56" i="8" s="1"/>
  <c r="G58" i="8"/>
  <c r="G12" i="6" s="1"/>
  <c r="J55" i="8"/>
  <c r="K50" i="8"/>
  <c r="K52" i="8" s="1"/>
  <c r="K55" i="8" s="1"/>
  <c r="J35" i="8"/>
  <c r="J37" i="8" s="1"/>
  <c r="I43" i="8"/>
  <c r="I13" i="6" s="1"/>
  <c r="H15" i="8"/>
  <c r="H20" i="8" s="1"/>
  <c r="H21" i="8" s="1"/>
  <c r="K65" i="6"/>
  <c r="K67" i="6" s="1"/>
  <c r="F25" i="2" l="1"/>
  <c r="F26" i="2" s="1"/>
  <c r="F27" i="1"/>
  <c r="F29" i="1" s="1"/>
  <c r="H16" i="8"/>
  <c r="H11" i="6" s="1"/>
  <c r="H23" i="8"/>
  <c r="G27" i="8"/>
  <c r="G10" i="6" s="1"/>
  <c r="G20" i="6" s="1"/>
  <c r="I19" i="8"/>
  <c r="H24" i="8"/>
  <c r="H66" i="8" s="1"/>
  <c r="H16" i="2" s="1"/>
  <c r="G18" i="2"/>
  <c r="G9" i="9"/>
  <c r="G11" i="12"/>
  <c r="G19" i="1"/>
  <c r="G23" i="1" s="1"/>
  <c r="G25" i="1" s="1"/>
  <c r="H58" i="8"/>
  <c r="H12" i="6" s="1"/>
  <c r="I54" i="8"/>
  <c r="I56" i="8" s="1"/>
  <c r="J43" i="8"/>
  <c r="J13" i="6" s="1"/>
  <c r="K35" i="8"/>
  <c r="K37" i="8" s="1"/>
  <c r="K43" i="8" s="1"/>
  <c r="K13" i="6" s="1"/>
  <c r="F8" i="9" l="1"/>
  <c r="F19" i="9" s="1"/>
  <c r="H25" i="8"/>
  <c r="I23" i="8" s="1"/>
  <c r="I13" i="8"/>
  <c r="I15" i="8" s="1"/>
  <c r="I20" i="8" s="1"/>
  <c r="I21" i="8" s="1"/>
  <c r="J54" i="8"/>
  <c r="J56" i="8" s="1"/>
  <c r="I58" i="8"/>
  <c r="I12" i="6" s="1"/>
  <c r="H19" i="1"/>
  <c r="H23" i="1" s="1"/>
  <c r="H25" i="1" s="1"/>
  <c r="H9" i="9"/>
  <c r="H18" i="2"/>
  <c r="H11" i="12"/>
  <c r="G22" i="2"/>
  <c r="G14" i="5" s="1"/>
  <c r="G23" i="2" s="1"/>
  <c r="G8" i="12"/>
  <c r="G10" i="12" s="1"/>
  <c r="G18" i="12" s="1"/>
  <c r="G23" i="12" s="1"/>
  <c r="F28" i="2"/>
  <c r="F39" i="6" s="1"/>
  <c r="F41" i="6" s="1"/>
  <c r="F69" i="6" s="1"/>
  <c r="F27" i="9"/>
  <c r="F33" i="9" s="1"/>
  <c r="F30" i="2"/>
  <c r="F35" i="9" l="1"/>
  <c r="F38" i="9" s="1"/>
  <c r="F26" i="6" s="1"/>
  <c r="G36" i="9" s="1"/>
  <c r="G25" i="2"/>
  <c r="G8" i="9" s="1"/>
  <c r="G19" i="9" s="1"/>
  <c r="G27" i="1"/>
  <c r="G29" i="1" s="1"/>
  <c r="H27" i="8"/>
  <c r="H10" i="6" s="1"/>
  <c r="H20" i="6" s="1"/>
  <c r="F8" i="11"/>
  <c r="F11" i="11" s="1"/>
  <c r="K54" i="8"/>
  <c r="K56" i="8" s="1"/>
  <c r="K58" i="8" s="1"/>
  <c r="K12" i="6" s="1"/>
  <c r="J58" i="8"/>
  <c r="J12" i="6" s="1"/>
  <c r="I16" i="8"/>
  <c r="J19" i="8"/>
  <c r="I24" i="8"/>
  <c r="H22" i="2"/>
  <c r="H14" i="5" s="1"/>
  <c r="H23" i="2" s="1"/>
  <c r="H8" i="12"/>
  <c r="H10" i="12" s="1"/>
  <c r="H18" i="12" s="1"/>
  <c r="H23" i="12" s="1"/>
  <c r="G26" i="2" l="1"/>
  <c r="G28" i="2" s="1"/>
  <c r="G39" i="6" s="1"/>
  <c r="G41" i="6" s="1"/>
  <c r="G69" i="6" s="1"/>
  <c r="G9" i="11"/>
  <c r="F32" i="6"/>
  <c r="F34" i="6" s="1"/>
  <c r="F71" i="6" s="1"/>
  <c r="H25" i="2"/>
  <c r="H8" i="9" s="1"/>
  <c r="H19" i="9" s="1"/>
  <c r="H27" i="1"/>
  <c r="H29" i="1" s="1"/>
  <c r="I66" i="8"/>
  <c r="I16" i="2" s="1"/>
  <c r="I25" i="8"/>
  <c r="I11" i="6"/>
  <c r="J13" i="8"/>
  <c r="G30" i="2" l="1"/>
  <c r="G27" i="9"/>
  <c r="G33" i="9" s="1"/>
  <c r="G35" i="9" s="1"/>
  <c r="G38" i="9" s="1"/>
  <c r="G26" i="6" s="1"/>
  <c r="G32" i="6" s="1"/>
  <c r="G34" i="6" s="1"/>
  <c r="G71" i="6" s="1"/>
  <c r="H26" i="2"/>
  <c r="H28" i="2" s="1"/>
  <c r="H39" i="6" s="1"/>
  <c r="H41" i="6" s="1"/>
  <c r="H69" i="6" s="1"/>
  <c r="J23" i="8"/>
  <c r="I27" i="8"/>
  <c r="I10" i="6" s="1"/>
  <c r="I20" i="6" s="1"/>
  <c r="I19" i="1"/>
  <c r="I23" i="1" s="1"/>
  <c r="I25" i="1" s="1"/>
  <c r="I11" i="12"/>
  <c r="I18" i="2"/>
  <c r="I9" i="9"/>
  <c r="J15" i="8"/>
  <c r="J20" i="8" s="1"/>
  <c r="J21" i="8" s="1"/>
  <c r="H36" i="9" l="1"/>
  <c r="H9" i="11"/>
  <c r="G8" i="11"/>
  <c r="G11" i="11" s="1"/>
  <c r="H30" i="2"/>
  <c r="H27" i="9"/>
  <c r="H33" i="9" s="1"/>
  <c r="H35" i="9" s="1"/>
  <c r="J16" i="8"/>
  <c r="I8" i="12"/>
  <c r="I10" i="12" s="1"/>
  <c r="I18" i="12" s="1"/>
  <c r="I23" i="12" s="1"/>
  <c r="I22" i="2"/>
  <c r="I14" i="5" s="1"/>
  <c r="I23" i="2" s="1"/>
  <c r="K19" i="8"/>
  <c r="J24" i="8"/>
  <c r="J66" i="8" s="1"/>
  <c r="J16" i="2" s="1"/>
  <c r="H38" i="9" l="1"/>
  <c r="H26" i="6" s="1"/>
  <c r="I36" i="9" s="1"/>
  <c r="H8" i="11"/>
  <c r="H11" i="11" s="1"/>
  <c r="I25" i="2"/>
  <c r="I8" i="9" s="1"/>
  <c r="I19" i="9" s="1"/>
  <c r="I27" i="1"/>
  <c r="I29" i="1" s="1"/>
  <c r="J25" i="8"/>
  <c r="K13" i="8"/>
  <c r="J11" i="6"/>
  <c r="J19" i="1"/>
  <c r="J23" i="1" s="1"/>
  <c r="J25" i="1" s="1"/>
  <c r="J18" i="2"/>
  <c r="J9" i="9"/>
  <c r="J11" i="12"/>
  <c r="H32" i="6" l="1"/>
  <c r="H34" i="6" s="1"/>
  <c r="H71" i="6" s="1"/>
  <c r="I9" i="11"/>
  <c r="I26" i="2"/>
  <c r="I27" i="9" s="1"/>
  <c r="I33" i="9" s="1"/>
  <c r="I35" i="9" s="1"/>
  <c r="I38" i="9" s="1"/>
  <c r="I26" i="6" s="1"/>
  <c r="K23" i="8"/>
  <c r="J27" i="8"/>
  <c r="J10" i="6" s="1"/>
  <c r="J20" i="6" s="1"/>
  <c r="J22" i="2"/>
  <c r="J14" i="5" s="1"/>
  <c r="J23" i="2" s="1"/>
  <c r="J8" i="12"/>
  <c r="J10" i="12" s="1"/>
  <c r="J18" i="12" s="1"/>
  <c r="J23" i="12" s="1"/>
  <c r="K15" i="8"/>
  <c r="K20" i="8" s="1"/>
  <c r="K21" i="8" s="1"/>
  <c r="K24" i="8" s="1"/>
  <c r="I30" i="2" l="1"/>
  <c r="I28" i="2"/>
  <c r="I39" i="6" s="1"/>
  <c r="I41" i="6" s="1"/>
  <c r="I69" i="6" s="1"/>
  <c r="J25" i="2"/>
  <c r="J8" i="9" s="1"/>
  <c r="J19" i="9" s="1"/>
  <c r="J27" i="1"/>
  <c r="J29" i="1" s="1"/>
  <c r="K16" i="8"/>
  <c r="K11" i="6" s="1"/>
  <c r="J36" i="9"/>
  <c r="I32" i="6"/>
  <c r="I34" i="6" s="1"/>
  <c r="J9" i="11"/>
  <c r="K66" i="8"/>
  <c r="K16" i="2" s="1"/>
  <c r="K25" i="8"/>
  <c r="K27" i="8" s="1"/>
  <c r="K10" i="6" s="1"/>
  <c r="I8" i="11"/>
  <c r="I11" i="11" s="1"/>
  <c r="J26" i="2" l="1"/>
  <c r="J28" i="2" s="1"/>
  <c r="J39" i="6" s="1"/>
  <c r="I71" i="6"/>
  <c r="K20" i="6"/>
  <c r="K19" i="1"/>
  <c r="K23" i="1" s="1"/>
  <c r="K25" i="1" s="1"/>
  <c r="K11" i="12"/>
  <c r="K9" i="9"/>
  <c r="K18" i="2"/>
  <c r="J30" i="2" l="1"/>
  <c r="J27" i="9"/>
  <c r="J33" i="9" s="1"/>
  <c r="J35" i="9" s="1"/>
  <c r="J38" i="9" s="1"/>
  <c r="J26" i="6" s="1"/>
  <c r="K36" i="9" s="1"/>
  <c r="K22" i="2"/>
  <c r="K14" i="5" s="1"/>
  <c r="K23" i="2" s="1"/>
  <c r="K8" i="12"/>
  <c r="J41" i="6"/>
  <c r="J69" i="6" s="1"/>
  <c r="J8" i="11" l="1"/>
  <c r="J11" i="11" s="1"/>
  <c r="K9" i="11"/>
  <c r="J32" i="6"/>
  <c r="J34" i="6" s="1"/>
  <c r="J71" i="6" s="1"/>
  <c r="K25" i="2"/>
  <c r="K26" i="2" s="1"/>
  <c r="K27" i="1"/>
  <c r="K29" i="1" s="1"/>
  <c r="K10" i="12"/>
  <c r="K18" i="12" s="1"/>
  <c r="I38" i="12"/>
  <c r="I40" i="12" s="1"/>
  <c r="I41" i="12" s="1"/>
  <c r="I45" i="12" s="1"/>
  <c r="C27" i="12" s="1"/>
  <c r="K8" i="9" l="1"/>
  <c r="K19" i="9" s="1"/>
  <c r="K23" i="12"/>
  <c r="C26" i="12" s="1"/>
  <c r="C29" i="12" s="1"/>
  <c r="C32" i="12" s="1"/>
  <c r="C35" i="12" s="1"/>
  <c r="I30" i="12"/>
  <c r="I32" i="12" s="1"/>
  <c r="I34" i="12" s="1"/>
  <c r="K19" i="12"/>
  <c r="K28" i="2"/>
  <c r="K39" i="6" s="1"/>
  <c r="K41" i="6" s="1"/>
  <c r="K69" i="6" s="1"/>
  <c r="K27" i="9"/>
  <c r="K30" i="2"/>
  <c r="K8" i="11" l="1"/>
  <c r="K11" i="11" s="1"/>
  <c r="K33" i="9"/>
  <c r="K35" i="9" s="1"/>
  <c r="K38" i="9" s="1"/>
  <c r="K26" i="6" s="1"/>
  <c r="K32" i="6" s="1"/>
  <c r="K34" i="6" s="1"/>
  <c r="K71" i="6" s="1"/>
</calcChain>
</file>

<file path=xl/sharedStrings.xml><?xml version="1.0" encoding="utf-8"?>
<sst xmlns="http://schemas.openxmlformats.org/spreadsheetml/2006/main" count="267" uniqueCount="214">
  <si>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</si>
  <si>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</si>
  <si>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</si>
  <si>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</si>
  <si>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</si>
  <si>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</si>
  <si>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</si>
  <si>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Employee benefits expense</t>
  </si>
  <si>
    <t>Finance costs</t>
  </si>
  <si>
    <t>Depreciation and amortization expense</t>
  </si>
  <si>
    <t>Other expenses</t>
  </si>
  <si>
    <t>Cost of materials consumed for own use</t>
  </si>
  <si>
    <t>Total expenses</t>
  </si>
  <si>
    <t>Profit before tax</t>
  </si>
  <si>
    <t>Total tax expense</t>
  </si>
  <si>
    <t>Profit for the year</t>
  </si>
  <si>
    <t>Changes in FG, WIP &amp; SIT</t>
  </si>
  <si>
    <t xml:space="preserve"> </t>
  </si>
  <si>
    <t>Particulars ( in millions)</t>
  </si>
  <si>
    <t>COGS</t>
  </si>
  <si>
    <t>Gross Profit</t>
  </si>
  <si>
    <t>Employee Benefit Expense</t>
  </si>
  <si>
    <t>Other Expenses</t>
  </si>
  <si>
    <t>EBITDA</t>
  </si>
  <si>
    <t>D&amp;A</t>
  </si>
  <si>
    <t>EBIT</t>
  </si>
  <si>
    <t>Finance Cost</t>
  </si>
  <si>
    <t>Other Incomes</t>
  </si>
  <si>
    <t>Pretax Income</t>
  </si>
  <si>
    <t>Tax</t>
  </si>
  <si>
    <t>PAT</t>
  </si>
  <si>
    <t>Dividend</t>
  </si>
  <si>
    <t>Retained Earning</t>
  </si>
  <si>
    <t>Sale of products</t>
  </si>
  <si>
    <t xml:space="preserve">Sale of services </t>
  </si>
  <si>
    <t>Other operating Revenue</t>
  </si>
  <si>
    <t>Sale of Product</t>
  </si>
  <si>
    <t>Vehicles</t>
  </si>
  <si>
    <t>Parts</t>
  </si>
  <si>
    <t>Vehicles Revenue</t>
  </si>
  <si>
    <t>Domestic</t>
  </si>
  <si>
    <t>Exports</t>
  </si>
  <si>
    <t>Units Sold</t>
  </si>
  <si>
    <t>Average Selling Price</t>
  </si>
  <si>
    <t>Average Selling Price Growth Rate</t>
  </si>
  <si>
    <t xml:space="preserve">Domestic </t>
  </si>
  <si>
    <t>Unit Sold Growth Rate</t>
  </si>
  <si>
    <t>Parts Revenue as a % of Vehicle Revenue</t>
  </si>
  <si>
    <t>Sales of Service as a % of Revenue</t>
  </si>
  <si>
    <t>Revenue</t>
  </si>
  <si>
    <t>As a % of Revenue</t>
  </si>
  <si>
    <t>Other Expense</t>
  </si>
  <si>
    <t>Assets</t>
  </si>
  <si>
    <t>Non-current assets</t>
  </si>
  <si>
    <t>Property, plant and equipment</t>
  </si>
  <si>
    <t>Capital work-in-progress</t>
  </si>
  <si>
    <t>Right-of-use assets</t>
  </si>
  <si>
    <t>Intangible assets</t>
  </si>
  <si>
    <t>Financial assets</t>
  </si>
  <si>
    <t>Other financial assets</t>
  </si>
  <si>
    <t>Deferred tax assets (net)</t>
  </si>
  <si>
    <t>Non-current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</si>
  <si>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</si>
  <si>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</si>
  <si>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</si>
  <si>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</si>
  <si>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</si>
  <si>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</si>
  <si>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 other than above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</si>
  <si>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</si>
  <si>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</si>
  <si>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</si>
  <si>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</si>
  <si>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</si>
  <si>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</si>
  <si>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Reserves and surplus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</si>
  <si>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</si>
  <si>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</si>
  <si>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</si>
  <si>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</si>
  <si>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</si>
  <si>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</si>
  <si>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</si>
  <si>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Other non-current liabilities</t>
  </si>
  <si>
    <t>Total non-current liabilities</t>
  </si>
  <si>
    <t>Current liabilities</t>
  </si>
  <si>
    <t>Trade payables</t>
  </si>
  <si>
    <t>Other financial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</si>
  <si>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</si>
  <si>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</si>
  <si>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</si>
  <si>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</si>
  <si>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</si>
  <si>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 xml:space="preserve">Dues of micro enterprises </t>
  </si>
  <si>
    <t>Dues of creditors other than micro</t>
  </si>
  <si>
    <t>Loans</t>
  </si>
  <si>
    <t>Difference Check</t>
  </si>
  <si>
    <t xml:space="preserve">Openning Gross PP&amp;E </t>
  </si>
  <si>
    <t>CapEx</t>
  </si>
  <si>
    <t>Closing Gross PP&amp;E</t>
  </si>
  <si>
    <t>Accum Openning Dep</t>
  </si>
  <si>
    <t>Dep of the Year</t>
  </si>
  <si>
    <t>Accum Dep Closing</t>
  </si>
  <si>
    <t>Net PP&amp;E</t>
  </si>
  <si>
    <t>CapEx as % of Revenue</t>
  </si>
  <si>
    <t>Dep Rate</t>
  </si>
  <si>
    <t xml:space="preserve">Gross Openning Intangibles </t>
  </si>
  <si>
    <t>Additions During the Year</t>
  </si>
  <si>
    <t>Gross Closing Intangibles</t>
  </si>
  <si>
    <t>Accum Openning Amount</t>
  </si>
  <si>
    <t>Accum Closing Amorti</t>
  </si>
  <si>
    <t>Net Intangibles</t>
  </si>
  <si>
    <t>Additions as % of Revenue</t>
  </si>
  <si>
    <t>Amor of the Year</t>
  </si>
  <si>
    <t>Intangible Schedule:</t>
  </si>
  <si>
    <t>PP&amp;E</t>
  </si>
  <si>
    <t>Right of use Assets</t>
  </si>
  <si>
    <t>Openning Gross Right of use</t>
  </si>
  <si>
    <t>AccumDep Closing</t>
  </si>
  <si>
    <t>CapEx as a % of Revenue</t>
  </si>
  <si>
    <t>Dep and Amor</t>
  </si>
  <si>
    <t>WC Schedule</t>
  </si>
  <si>
    <t>Trade Receivables</t>
  </si>
  <si>
    <t>Trade Payables</t>
  </si>
  <si>
    <t>Inventory as a % of COGS</t>
  </si>
  <si>
    <t>Trade receivables as a % of Revenue</t>
  </si>
  <si>
    <t>Trade Payables as a % of COGS</t>
  </si>
  <si>
    <t>Collection Period</t>
  </si>
  <si>
    <t>Processing Period</t>
  </si>
  <si>
    <t>Payment Period</t>
  </si>
  <si>
    <t>cogs</t>
  </si>
  <si>
    <t>Openning Cap WIP</t>
  </si>
  <si>
    <t>Cap WIP Transferred to Fixed Assets</t>
  </si>
  <si>
    <t>Closing Cap WIP</t>
  </si>
  <si>
    <t>Total Dividend</t>
  </si>
  <si>
    <t xml:space="preserve">Dividend Per Share </t>
  </si>
  <si>
    <t>Shares</t>
  </si>
  <si>
    <t>SBC</t>
  </si>
  <si>
    <t xml:space="preserve">Change in </t>
  </si>
  <si>
    <t>Trade receivable</t>
  </si>
  <si>
    <t>Others</t>
  </si>
  <si>
    <t>Trade Payable</t>
  </si>
  <si>
    <t>Cash From Operations: CFO</t>
  </si>
  <si>
    <t>CapEx on PP&amp;E</t>
  </si>
  <si>
    <t>Additions to Intangibles</t>
  </si>
  <si>
    <t>Additions to Right to Use</t>
  </si>
  <si>
    <t>Cash From Investment: CFI</t>
  </si>
  <si>
    <t>Equity Issue</t>
  </si>
  <si>
    <t>Equity Buyback</t>
  </si>
  <si>
    <t>Options Conversions</t>
  </si>
  <si>
    <t>Change in Debt</t>
  </si>
  <si>
    <t>Cash from Financing: CFF</t>
  </si>
  <si>
    <t>Free Cash Before Debt</t>
  </si>
  <si>
    <t xml:space="preserve">Add: Openning Cash Balance </t>
  </si>
  <si>
    <t xml:space="preserve">Less: Minimum cash Balance </t>
  </si>
  <si>
    <t>Free Cash For Debt</t>
  </si>
  <si>
    <t>ST Debt</t>
  </si>
  <si>
    <t>Debt Paid</t>
  </si>
  <si>
    <t>LT Debt</t>
  </si>
  <si>
    <t>Total Debt:</t>
  </si>
  <si>
    <t>Rate</t>
  </si>
  <si>
    <t>Surplus / Deficit</t>
  </si>
  <si>
    <t>Openning Cash Balance</t>
  </si>
  <si>
    <t>Closing Cash Balance</t>
  </si>
  <si>
    <t>Tax Rate</t>
  </si>
  <si>
    <t>NOPAT (EBIT *(1-Tax Rate)</t>
  </si>
  <si>
    <t>NCC</t>
  </si>
  <si>
    <t>Change in CA</t>
  </si>
  <si>
    <t>Change in CL</t>
  </si>
  <si>
    <t>Additions to Right to Use Asset</t>
  </si>
  <si>
    <t>FCFF | Unlevered FCF</t>
  </si>
  <si>
    <t xml:space="preserve">WACC Analysis </t>
  </si>
  <si>
    <t>Risk Free Rate</t>
  </si>
  <si>
    <t>Beta</t>
  </si>
  <si>
    <t>Risk Premium</t>
  </si>
  <si>
    <t>Cost of Equity : Ke</t>
  </si>
  <si>
    <t>Basic Shares Outstanding</t>
  </si>
  <si>
    <t>Dilusions</t>
  </si>
  <si>
    <t>Dilluted Shares Outs</t>
  </si>
  <si>
    <t>Market Price</t>
  </si>
  <si>
    <t>Market Cap</t>
  </si>
  <si>
    <t>Options</t>
  </si>
  <si>
    <t>Debt</t>
  </si>
  <si>
    <t>Dillusion</t>
  </si>
  <si>
    <t>Creduit Spread</t>
  </si>
  <si>
    <t>Pre Tax Cost of Debt</t>
  </si>
  <si>
    <t>Post Tax Cost of Debt</t>
  </si>
  <si>
    <t>Long Term Debt</t>
  </si>
  <si>
    <t>Leases</t>
  </si>
  <si>
    <t>Total Debt</t>
  </si>
  <si>
    <t>In The Money</t>
  </si>
  <si>
    <t>Equity%</t>
  </si>
  <si>
    <t>Debt%</t>
  </si>
  <si>
    <t>WACC</t>
  </si>
  <si>
    <t>Terminal Value Calculations</t>
  </si>
  <si>
    <t>1. Perpetual Method</t>
  </si>
  <si>
    <t>2. Multiple Method</t>
  </si>
  <si>
    <t>Terminal FCF</t>
  </si>
  <si>
    <t>Growth Rate</t>
  </si>
  <si>
    <t>Terminal Value</t>
  </si>
  <si>
    <t>PV of Terminal Value</t>
  </si>
  <si>
    <t>Terminal EBITDA</t>
  </si>
  <si>
    <t>Assumed EBITDA Mutiple</t>
  </si>
  <si>
    <t xml:space="preserve">Select Method </t>
  </si>
  <si>
    <t>Discount Period</t>
  </si>
  <si>
    <t>PV of FCFF</t>
  </si>
  <si>
    <t>PV of TV</t>
  </si>
  <si>
    <t>Sum of PV of Terminal Value</t>
  </si>
  <si>
    <t>Implied Terminal Value</t>
  </si>
  <si>
    <t>Less: Non Equity Claims</t>
  </si>
  <si>
    <t>Implied Equity Value</t>
  </si>
  <si>
    <t>Diluted Share Outstanding</t>
  </si>
  <si>
    <t xml:space="preserve">Implied Share Price </t>
  </si>
  <si>
    <t>Depriciation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</si>
</sst>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A&quot;"/>
    <numFmt numFmtId="165" formatCode="0&quot;E&quot;"/>
    <numFmt numFmtId="166" formatCode="0.0%"/>
    <numFmt numFmtId="167" formatCode="0.0"/>
    <numFmt numFmtId="169" formatCode="0\x"/>
  </numFmts>
  <fonts count="9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8" tint="-0.249977111117893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</font>
    <font>
      <b/>
      <sz val="11"/>
      <color rgb="FFCCC834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9">
    <xf numFmtId="0" fontId="0" fillId="0" borderId="0" xfId="0"/>
    <xf numFmtId="4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2" fillId="0" borderId="0" xfId="0" applyFont="1"/>
    <xf numFmtId="1" fontId="2" fillId="0" borderId="0" xfId="0" applyNumberFormat="1" applyFont="1"/>
    <xf numFmtId="1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0" fillId="0" borderId="0" xfId="1" applyNumberFormat="1" applyFont="1"/>
    <xf numFmtId="10" fontId="0" fillId="0" borderId="0" xfId="0" applyNumberFormat="1"/>
    <xf numFmtId="3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  <xf numFmtId="9" fontId="0" fillId="0" borderId="0" xfId="1" applyFont="1"/>
    <xf numFmtId="166" fontId="0" fillId="0" borderId="0" xfId="1" applyNumberFormat="1" applyFont="1"/>
    <xf numFmtId="9" fontId="0" fillId="0" borderId="0" xfId="0" applyNumberFormat="1"/>
    <xf numFmtId="167" fontId="0" fillId="0" borderId="0" xfId="0" applyNumberFormat="1"/>
    <xf numFmtId="1" fontId="7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1" fontId="0" fillId="0" borderId="0" xfId="1" applyNumberFormat="1" applyFont="1"/>
    <xf numFmtId="166" fontId="0" fillId="0" borderId="0" xfId="0" applyNumberFormat="1"/>
    <xf numFmtId="169" fontId="0" fillId="0" borderId="0" xfId="0" applyNumberFormat="1"/>
    <xf numFmtId="0" fontId="0" fillId="3" borderId="0" xfId="0" applyFill="1"/>
    <xf numFmtId="0" fontId="2" fillId="3" borderId="1" xfId="0" applyFont="1" applyFill="1" applyBorder="1"/>
    <xf numFmtId="1" fontId="2" fillId="3" borderId="1" xfId="0" applyNumberFormat="1" applyFont="1" applyFill="1" applyBorder="1"/>
    <xf numFmtId="0" fontId="2" fillId="3" borderId="3" xfId="0" applyFont="1" applyFill="1" applyBorder="1"/>
    <xf numFmtId="0" fontId="0" fillId="3" borderId="3" xfId="0" applyFill="1" applyBorder="1"/>
    <xf numFmtId="9" fontId="3" fillId="3" borderId="0" xfId="0" applyNumberFormat="1" applyFont="1" applyFill="1"/>
    <xf numFmtId="166" fontId="0" fillId="3" borderId="0" xfId="0" applyNumberFormat="1" applyFill="1"/>
    <xf numFmtId="1" fontId="2" fillId="3" borderId="0" xfId="0" applyNumberFormat="1" applyFont="1" applyFill="1"/>
    <xf numFmtId="9" fontId="2" fillId="3" borderId="0" xfId="0" applyNumberFormat="1" applyFont="1" applyFill="1"/>
    <xf numFmtId="166" fontId="2" fillId="3" borderId="0" xfId="0" applyNumberFormat="1" applyFont="1" applyFill="1"/>
    <xf numFmtId="10" fontId="2" fillId="3" borderId="0" xfId="0" applyNumberFormat="1" applyFont="1" applyFill="1"/>
    <xf numFmtId="1" fontId="0" fillId="3" borderId="0" xfId="0" applyNumberFormat="1" applyFill="1"/>
    <xf numFmtId="9" fontId="0" fillId="3" borderId="0" xfId="0" applyNumberFormat="1" applyFill="1"/>
    <xf numFmtId="10" fontId="4" fillId="3" borderId="0" xfId="1" applyNumberFormat="1" applyFont="1" applyFill="1"/>
    <xf numFmtId="1" fontId="3" fillId="0" borderId="0" xfId="1" applyNumberFormat="1" applyFont="1"/>
    <xf numFmtId="0" fontId="2" fillId="3" borderId="0" xfId="0" applyFont="1" applyFill="1"/>
    <xf numFmtId="10" fontId="0" fillId="3" borderId="0" xfId="0" applyNumberFormat="1" applyFill="1"/>
    <xf numFmtId="166" fontId="0" fillId="3" borderId="0" xfId="1" applyNumberFormat="1" applyFont="1" applyFill="1"/>
    <xf numFmtId="167" fontId="0" fillId="3" borderId="0" xfId="0" applyNumberFormat="1" applyFill="1"/>
    <xf numFmtId="1" fontId="2" fillId="3" borderId="3" xfId="0" applyNumberFormat="1" applyFont="1" applyFill="1" applyBorder="1"/>
    <xf numFmtId="2" fontId="2" fillId="3" borderId="3" xfId="0" applyNumberFormat="1" applyFont="1" applyFill="1" applyBorder="1"/>
    <xf numFmtId="10" fontId="2" fillId="3" borderId="3" xfId="0" applyNumberFormat="1" applyFont="1" applyFill="1" applyBorder="1"/>
    <xf numFmtId="166" fontId="3" fillId="3" borderId="0" xfId="0" applyNumberFormat="1" applyFont="1" applyFill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66" fontId="0" fillId="0" borderId="4" xfId="1" applyNumberFormat="1" applyFont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2" fillId="3" borderId="2" xfId="0" applyFont="1" applyFill="1" applyBorder="1"/>
    <xf numFmtId="3" fontId="5" fillId="3" borderId="2" xfId="0" applyNumberFormat="1" applyFont="1" applyFill="1" applyBorder="1"/>
    <xf numFmtId="3" fontId="2" fillId="3" borderId="1" xfId="0" applyNumberFormat="1" applyFont="1" applyFill="1" applyBorder="1"/>
    <xf numFmtId="0" fontId="8" fillId="0" borderId="0" xfId="0" applyFont="1"/>
    <xf numFmtId="167" fontId="8" fillId="0" borderId="0" xfId="0" applyNumberFormat="1" applyFont="1"/>
    <xf numFmtId="2" fontId="0" fillId="0" borderId="0" xfId="0" applyNumberFormat="1"/>
    <xf numFmtId="2" fontId="2" fillId="3" borderId="3" xfId="0" applyNumberFormat="1" applyFont="1" applyFill="1" applyBorder="1"/>
    <xf numFmtId="0" fontId="2" fillId="3" borderId="3" xfId="0" applyFont="1" applyFill="1" applyBorder="1"/>
    <xf numFmtId="9" fontId="2" fillId="3" borderId="3" xfId="1" applyFont="1" applyFill="1" applyBorder="1"/>
    <xf numFmtId="3" fontId="0" fillId="0" borderId="4" xfId="0" applyNumberFormat="1" applyBorder="1"/>
    <xf numFmtId="10" fontId="0" fillId="0" borderId="4" xfId="1" applyNumberFormat="1" applyFont="1" applyBorder="1"/>
    <xf numFmtId="1" fontId="3" fillId="0" borderId="4" xfId="0" applyNumberFormat="1" applyFont="1" applyBorder="1"/>
    <xf numFmtId="0" fontId="2" fillId="3" borderId="7" xfId="0" applyFont="1" applyFill="1" applyBorder="1"/>
    <xf numFmtId="3" fontId="3" fillId="0" borderId="4" xfId="0" applyNumberFormat="1" applyFont="1" applyBorder="1"/>
    <xf numFmtId="0" fontId="3" fillId="0" borderId="4" xfId="0" applyFont="1" applyBorder="1"/>
    <xf numFmtId="1" fontId="3" fillId="0" borderId="4" xfId="1" applyNumberFormat="1" applyFont="1" applyBorder="1"/>
    <xf numFmtId="0" fontId="6" fillId="0" borderId="4" xfId="0" applyFont="1" applyBorder="1"/>
    <xf numFmtId="9" fontId="0" fillId="0" borderId="4" xfId="1" applyFont="1" applyBorder="1"/>
    <xf numFmtId="167" fontId="0" fillId="0" borderId="4" xfId="0" applyNumberFormat="1" applyBorder="1"/>
    <xf numFmtId="1" fontId="2" fillId="3" borderId="4" xfId="0" applyNumberFormat="1" applyFont="1" applyFill="1" applyBorder="1"/>
    <xf numFmtId="3" fontId="5" fillId="3" borderId="8" xfId="0" applyNumberFormat="1" applyFont="1" applyFill="1" applyBorder="1"/>
    <xf numFmtId="0" fontId="0" fillId="3" borderId="2" xfId="0" applyFill="1" applyBorder="1"/>
    <xf numFmtId="0" fontId="2" fillId="0" borderId="0" xfId="0" applyFont="1" applyBorder="1"/>
    <xf numFmtId="3" fontId="5" fillId="0" borderId="0" xfId="0" applyNumberFormat="1" applyFont="1" applyBorder="1"/>
    <xf numFmtId="3" fontId="5" fillId="0" borderId="4" xfId="0" applyNumberFormat="1" applyFont="1" applyBorder="1"/>
    <xf numFmtId="3" fontId="5" fillId="3" borderId="3" xfId="0" applyNumberFormat="1" applyFont="1" applyFill="1" applyBorder="1"/>
    <xf numFmtId="3" fontId="5" fillId="3" borderId="7" xfId="0" applyNumberFormat="1" applyFont="1" applyFill="1" applyBorder="1"/>
    <xf numFmtId="1" fontId="2" fillId="3" borderId="9" xfId="0" applyNumberFormat="1" applyFont="1" applyFill="1" applyBorder="1"/>
    <xf numFmtId="0" fontId="0" fillId="3" borderId="1" xfId="0" applyFill="1" applyBorder="1"/>
    <xf numFmtId="1" fontId="2" fillId="3" borderId="7" xfId="0" applyNumberFormat="1" applyFont="1" applyFill="1" applyBorder="1"/>
    <xf numFmtId="9" fontId="0" fillId="0" borderId="4" xfId="0" applyNumberFormat="1" applyBorder="1"/>
    <xf numFmtId="1" fontId="3" fillId="3" borderId="3" xfId="0" applyNumberFormat="1" applyFont="1" applyFill="1" applyBorder="1"/>
    <xf numFmtId="1" fontId="3" fillId="3" borderId="7" xfId="0" applyNumberFormat="1" applyFont="1" applyFill="1" applyBorder="1"/>
    <xf numFmtId="2" fontId="2" fillId="3" borderId="0" xfId="0" applyNumberFormat="1" applyFont="1" applyFill="1"/>
    <xf numFmtId="0" fontId="0" fillId="3" borderId="7" xfId="0" applyFill="1" applyBorder="1"/>
    <xf numFmtId="166" fontId="0" fillId="0" borderId="4" xfId="0" applyNumberFormat="1" applyBorder="1"/>
    <xf numFmtId="1" fontId="0" fillId="0" borderId="0" xfId="0" applyNumberFormat="1" applyFont="1"/>
    <xf numFmtId="1" fontId="1" fillId="0" borderId="0" xfId="0" applyNumberFormat="1" applyFont="1"/>
    <xf numFmtId="1" fontId="2" fillId="0" borderId="4" xfId="0" applyNumberFormat="1" applyFont="1" applyBorder="1"/>
    <xf numFmtId="1" fontId="1" fillId="0" borderId="5" xfId="0" applyNumberFormat="1" applyFont="1" applyBorder="1"/>
    <xf numFmtId="1" fontId="1" fillId="0" borderId="6" xfId="0" applyNumberFormat="1" applyFont="1" applyBorder="1"/>
    <xf numFmtId="0" fontId="0" fillId="3" borderId="4" xfId="0" applyFill="1" applyBorder="1"/>
    <xf numFmtId="166" fontId="8" fillId="0" borderId="0" xfId="1" applyNumberFormat="1" applyFont="1"/>
    <xf numFmtId="166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C8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82551</xdr:rowOff>
    </xdr:from>
    <xdr:to>
      <xdr:col>6</xdr:col>
      <xdr:colOff>476250</xdr:colOff>
      <xdr:row>4</xdr:row>
      <xdr:rowOff>57151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EAC83F-FB94-710F-FE93-A11A0F9E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2551"/>
          <a:ext cx="5365750" cy="71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6</xdr:col>
      <xdr:colOff>495300</xdr:colOff>
      <xdr:row>4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852E9A-0270-4723-B2A1-F5FA5B73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4300"/>
          <a:ext cx="5365750" cy="71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120650</xdr:rowOff>
    </xdr:from>
    <xdr:to>
      <xdr:col>6</xdr:col>
      <xdr:colOff>514350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1630E-6A9F-45CD-B2F8-0D1943ACA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20650"/>
          <a:ext cx="5365750" cy="711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127000</xdr:rowOff>
    </xdr:from>
    <xdr:to>
      <xdr:col>6</xdr:col>
      <xdr:colOff>508000</xdr:colOff>
      <xdr:row>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65661-938F-4BB9-820A-F2C311135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5365750" cy="711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0</xdr:row>
      <xdr:rowOff>82550</xdr:rowOff>
    </xdr:from>
    <xdr:to>
      <xdr:col>6</xdr:col>
      <xdr:colOff>266700</xdr:colOff>
      <xdr:row>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3F15D-2567-42A2-89A2-CAF31236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82550"/>
          <a:ext cx="5365750" cy="711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114300</xdr:rowOff>
    </xdr:from>
    <xdr:to>
      <xdr:col>6</xdr:col>
      <xdr:colOff>527050</xdr:colOff>
      <xdr:row>4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4FD30-D0FB-43E8-A4F2-22021F960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50" y="114300"/>
          <a:ext cx="5365750" cy="711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139700</xdr:rowOff>
    </xdr:from>
    <xdr:to>
      <xdr:col>6</xdr:col>
      <xdr:colOff>508000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96607-DC02-4134-9F57-E586AF827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39700"/>
          <a:ext cx="5365750" cy="711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6</xdr:col>
      <xdr:colOff>508000</xdr:colOff>
      <xdr:row>4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5196B-8D29-47F6-AF6D-3665E8345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4300"/>
          <a:ext cx="5365750" cy="711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101600</xdr:rowOff>
    </xdr:from>
    <xdr:to>
      <xdr:col>6</xdr:col>
      <xdr:colOff>254000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AFEBD-E1A4-4932-8020-622F71F08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1600"/>
          <a:ext cx="5365750" cy="71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F987-06F4-45D2-97C8-FB008B7029D3}">
  <dimension ref="A1:N34"/>
  <sheetViews>
    <sheetView workbookViewId="0">
      <selection activeCell="H4" sqref="H4"/>
    </sheetView>
  </sheetViews>
  <sheetFormatPr defaultColWidth="0" defaultRowHeight="14.5" x14ac:dyDescent="0.35"/>
  <cols>
    <col min="1" max="1" width="1.81640625" customWidth="1"/>
    <col min="2" max="2" width="34.6328125" customWidth="1"/>
    <col min="3" max="4" width="8.7265625" customWidth="1"/>
    <col min="5" max="5" width="8.90625" customWidth="1"/>
    <col min="6" max="11" width="8.7265625" customWidth="1"/>
    <col min="12" max="12" width="4.0898437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48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x14ac:dyDescent="0.35">
      <c r="E7" s="49"/>
      <c r="G7" s="1"/>
    </row>
    <row r="8" spans="1:12" x14ac:dyDescent="0.35">
      <c r="B8" t="s">
        <v>0</v>
      </c>
      <c r="E8" s="49"/>
      <c r="G8" s="1"/>
    </row>
    <row r="9" spans="1:12" x14ac:dyDescent="0.35">
      <c r="B9" t="s">
        <v>1</v>
      </c>
      <c r="C9" s="6">
        <v>603075.80000000005</v>
      </c>
      <c r="D9" s="6">
        <v>698290.57</v>
      </c>
      <c r="E9" s="66">
        <v>691928.88</v>
      </c>
      <c r="F9" s="91">
        <f>SUM('Revenue Model'!F10:F12)</f>
        <v>738960.49239869067</v>
      </c>
      <c r="G9" s="91">
        <f>SUM('Revenue Model'!G10:G12)</f>
        <v>798254.74472242419</v>
      </c>
      <c r="H9" s="91">
        <f>SUM('Revenue Model'!H10:H12)</f>
        <v>862387.4080357739</v>
      </c>
      <c r="I9" s="91">
        <f>SUM('Revenue Model'!I10:I12)</f>
        <v>931753.29667549324</v>
      </c>
      <c r="J9" s="91">
        <f>SUM('Revenue Model'!J10:J12)</f>
        <v>1006779.4418282135</v>
      </c>
      <c r="K9" s="91">
        <f>SUM('Revenue Model'!K10:K12)</f>
        <v>1087927.720425396</v>
      </c>
    </row>
    <row r="10" spans="1:12" x14ac:dyDescent="0.35">
      <c r="B10" t="s">
        <v>2</v>
      </c>
      <c r="C10" s="6">
        <v>11290.62</v>
      </c>
      <c r="D10" s="6">
        <v>14732.68</v>
      </c>
      <c r="E10" s="66">
        <v>8700.49</v>
      </c>
      <c r="F10" s="6">
        <f>'Revised IS'!F20</f>
        <v>8700.49</v>
      </c>
      <c r="G10" s="6">
        <f>'Revised IS'!G20</f>
        <v>8700.49</v>
      </c>
      <c r="H10" s="6">
        <f>'Revised IS'!H20</f>
        <v>8700.49</v>
      </c>
      <c r="I10" s="6">
        <f>'Revised IS'!I20</f>
        <v>8700.49</v>
      </c>
      <c r="J10" s="6">
        <f>'Revised IS'!J20</f>
        <v>8700.49</v>
      </c>
      <c r="K10" s="6">
        <f>'Revised IS'!K20</f>
        <v>8700.49</v>
      </c>
    </row>
    <row r="11" spans="1:12" ht="15" thickBot="1" x14ac:dyDescent="0.4">
      <c r="B11" s="25" t="s">
        <v>3</v>
      </c>
      <c r="C11" s="26">
        <f t="shared" ref="C11:K11" si="1">SUM(C9:C10)</f>
        <v>614366.42000000004</v>
      </c>
      <c r="D11" s="26">
        <f t="shared" si="1"/>
        <v>713023.25</v>
      </c>
      <c r="E11" s="82">
        <f t="shared" si="1"/>
        <v>700629.37</v>
      </c>
      <c r="F11" s="26">
        <f t="shared" si="1"/>
        <v>747660.98239869066</v>
      </c>
      <c r="G11" s="26">
        <f t="shared" si="1"/>
        <v>806955.23472242418</v>
      </c>
      <c r="H11" s="26">
        <f t="shared" si="1"/>
        <v>871087.89803577389</v>
      </c>
      <c r="I11" s="26">
        <f t="shared" si="1"/>
        <v>940453.78667549323</v>
      </c>
      <c r="J11" s="26">
        <f t="shared" si="1"/>
        <v>1015479.9318282135</v>
      </c>
      <c r="K11" s="26">
        <f t="shared" si="1"/>
        <v>1096628.210425396</v>
      </c>
    </row>
    <row r="12" spans="1:12" x14ac:dyDescent="0.35">
      <c r="B12" s="4"/>
      <c r="C12" s="5"/>
      <c r="D12" s="5"/>
      <c r="E12" s="93"/>
      <c r="F12" s="5"/>
      <c r="G12" s="5"/>
      <c r="H12" s="5"/>
      <c r="I12" s="5"/>
      <c r="J12" s="5"/>
      <c r="K12" s="5"/>
    </row>
    <row r="13" spans="1:12" x14ac:dyDescent="0.35">
      <c r="B13" t="s">
        <v>4</v>
      </c>
      <c r="E13" s="49"/>
    </row>
    <row r="14" spans="1:12" x14ac:dyDescent="0.35">
      <c r="B14" t="s">
        <v>5</v>
      </c>
      <c r="C14" s="6">
        <v>445086.35</v>
      </c>
      <c r="D14" s="6">
        <v>512979.91</v>
      </c>
      <c r="E14" s="66">
        <v>493978.87</v>
      </c>
      <c r="F14" s="91">
        <f>Expense!F26*Expense!F8</f>
        <v>527617.7915726651</v>
      </c>
      <c r="G14" s="91">
        <f>Expense!G26*Expense!G8</f>
        <v>569953.8877318108</v>
      </c>
      <c r="H14" s="91">
        <f>Expense!H26*Expense!H8</f>
        <v>615744.60933754256</v>
      </c>
      <c r="I14" s="91">
        <f>Expense!I26*Expense!I8</f>
        <v>665271.8538263021</v>
      </c>
      <c r="J14" s="91">
        <f>Expense!J26*Expense!J8</f>
        <v>718840.52146534447</v>
      </c>
      <c r="K14" s="91">
        <f>Expense!K26*Expense!K8</f>
        <v>776780.39238373272</v>
      </c>
    </row>
    <row r="15" spans="1:12" x14ac:dyDescent="0.35">
      <c r="B15" s="19" t="s">
        <v>6</v>
      </c>
      <c r="C15" s="6">
        <v>6564.16</v>
      </c>
      <c r="D15" s="6">
        <v>4334.2700000000004</v>
      </c>
      <c r="E15" s="66">
        <v>7497.41</v>
      </c>
      <c r="F15" s="91">
        <f>Expense!F27*Expense!F8</f>
        <v>6650.6444315882163</v>
      </c>
      <c r="G15" s="91">
        <f>Expense!G27*Expense!G8</f>
        <v>6929.5145625497635</v>
      </c>
      <c r="H15" s="91">
        <f>Expense!H27*Expense!H8</f>
        <v>8197.3810104576041</v>
      </c>
      <c r="I15" s="91">
        <f>Expense!I27*Expense!I8</f>
        <v>8443.6358841302881</v>
      </c>
      <c r="J15" s="91">
        <f>Expense!J27*Expense!J8</f>
        <v>9144.3681517293062</v>
      </c>
      <c r="K15" s="91">
        <f>Expense!K27*Expense!K8</f>
        <v>10027.189198112523</v>
      </c>
    </row>
    <row r="16" spans="1:12" x14ac:dyDescent="0.35">
      <c r="B16" t="s">
        <v>16</v>
      </c>
      <c r="C16" s="6">
        <v>-1351.21</v>
      </c>
      <c r="D16" s="6">
        <v>-1384.74</v>
      </c>
      <c r="E16" s="66">
        <v>-1772.37</v>
      </c>
      <c r="F16" s="91">
        <f>Expense!F28*Expense!F8</f>
        <v>-1477.9209847973814</v>
      </c>
      <c r="G16" s="91">
        <f>Expense!G28*Expense!G8</f>
        <v>-1596.5094894448484</v>
      </c>
      <c r="H16" s="91">
        <f>Expense!H28*Expense!H8</f>
        <v>-1724.7748160715478</v>
      </c>
      <c r="I16" s="91">
        <f>Expense!I28*Expense!I8</f>
        <v>-1863.5065933509866</v>
      </c>
      <c r="J16" s="91">
        <f>Expense!J28*Expense!J8</f>
        <v>-2013.558883656427</v>
      </c>
      <c r="K16" s="91">
        <f>Expense!K28*Expense!K8</f>
        <v>-2175.8554408507921</v>
      </c>
    </row>
    <row r="17" spans="2:11" x14ac:dyDescent="0.35">
      <c r="B17" t="s">
        <v>7</v>
      </c>
      <c r="C17" s="6">
        <v>17662.259999999998</v>
      </c>
      <c r="D17" s="6">
        <v>19754.88</v>
      </c>
      <c r="E17" s="66">
        <v>23112.09</v>
      </c>
      <c r="F17" s="91">
        <f>Expense!F12</f>
        <v>22410.138463083116</v>
      </c>
      <c r="G17" s="91">
        <f>Expense!G12</f>
        <v>24208.32986615333</v>
      </c>
      <c r="H17" s="91">
        <f>Expense!H12</f>
        <v>26153.253687714056</v>
      </c>
      <c r="I17" s="91">
        <f>Expense!I12</f>
        <v>28256.883293114148</v>
      </c>
      <c r="J17" s="91">
        <f>Expense!J12</f>
        <v>30532.169074314879</v>
      </c>
      <c r="K17" s="91">
        <f>Expense!K12</f>
        <v>32993.118175261603</v>
      </c>
    </row>
    <row r="18" spans="2:11" x14ac:dyDescent="0.35">
      <c r="B18" t="s">
        <v>8</v>
      </c>
      <c r="C18" s="6">
        <v>1424.01</v>
      </c>
      <c r="D18" s="6">
        <v>1580.79</v>
      </c>
      <c r="E18" s="66">
        <v>1272</v>
      </c>
      <c r="F18" s="91">
        <f>'Revised IS'!F19</f>
        <v>532.0650396861015</v>
      </c>
      <c r="G18" s="91">
        <f>'Revised IS'!G19</f>
        <v>214.77457781425107</v>
      </c>
      <c r="H18" s="91">
        <f>'Revised IS'!H19</f>
        <v>0</v>
      </c>
      <c r="I18" s="91">
        <f>'Revised IS'!I19</f>
        <v>0</v>
      </c>
      <c r="J18" s="91">
        <f>'Revised IS'!J19</f>
        <v>0</v>
      </c>
      <c r="K18" s="91">
        <f>'Revised IS'!K19</f>
        <v>0</v>
      </c>
    </row>
    <row r="19" spans="2:11" x14ac:dyDescent="0.35">
      <c r="B19" t="s">
        <v>9</v>
      </c>
      <c r="C19" s="6">
        <v>21898.66</v>
      </c>
      <c r="D19" s="6">
        <v>22079.31</v>
      </c>
      <c r="E19" s="66">
        <v>21052.58</v>
      </c>
      <c r="F19" s="91">
        <f>'Revised IS'!F16</f>
        <v>23969.297888427456</v>
      </c>
      <c r="G19" s="91">
        <f>'Revised IS'!G16</f>
        <v>27261.177182364263</v>
      </c>
      <c r="H19" s="91">
        <f>'Revised IS'!H16</f>
        <v>29554.263924144121</v>
      </c>
      <c r="I19" s="91">
        <f>'Revised IS'!I16</f>
        <v>30726.982322551998</v>
      </c>
      <c r="J19" s="91">
        <f>'Revised IS'!J16</f>
        <v>33337.990320768746</v>
      </c>
      <c r="K19" s="91">
        <f>'Revised IS'!K16</f>
        <v>36159.141950138757</v>
      </c>
    </row>
    <row r="20" spans="2:11" x14ac:dyDescent="0.35">
      <c r="B20" t="s">
        <v>10</v>
      </c>
      <c r="C20" s="6">
        <v>60098.7</v>
      </c>
      <c r="D20" s="6">
        <v>71820.52</v>
      </c>
      <c r="E20" s="66">
        <v>79989.8</v>
      </c>
      <c r="F20" s="91">
        <f>Expense!F13</f>
        <v>88675.259087842875</v>
      </c>
      <c r="G20" s="91">
        <f>Expense!G13</f>
        <v>97786.206228496958</v>
      </c>
      <c r="H20" s="91">
        <f>Expense!H13</f>
        <v>105642.45748438231</v>
      </c>
      <c r="I20" s="91">
        <f>Expense!I13</f>
        <v>114139.77884274792</v>
      </c>
      <c r="J20" s="91">
        <f>Expense!J13</f>
        <v>123330.48162395615</v>
      </c>
      <c r="K20" s="91">
        <f>Expense!K13</f>
        <v>133271.14575211101</v>
      </c>
    </row>
    <row r="21" spans="2:11" x14ac:dyDescent="0.35">
      <c r="B21" t="s">
        <v>11</v>
      </c>
      <c r="C21" s="6">
        <v>-472.26</v>
      </c>
      <c r="D21" s="6">
        <v>-540.42999999999995</v>
      </c>
      <c r="E21" s="66">
        <v>-414.5</v>
      </c>
      <c r="F21" s="91">
        <f>Expense!F29*Expense!F8</f>
        <v>-738.96049239869069</v>
      </c>
      <c r="G21" s="91">
        <f>Expense!G29*Expense!G8</f>
        <v>-798.25474472242422</v>
      </c>
      <c r="H21" s="91">
        <f>Expense!H29*Expense!H8</f>
        <v>-862.38740803577389</v>
      </c>
      <c r="I21" s="91">
        <f>Expense!I29*Expense!I8</f>
        <v>-931.75329667549329</v>
      </c>
      <c r="J21" s="91">
        <f>Expense!J29*Expense!J8</f>
        <v>-1006.7794418282135</v>
      </c>
      <c r="K21" s="91">
        <f>Expense!K29*Expense!K8</f>
        <v>-1087.927720425396</v>
      </c>
    </row>
    <row r="22" spans="2:11" x14ac:dyDescent="0.35">
      <c r="E22" s="49"/>
    </row>
    <row r="23" spans="2:11" ht="15" thickBot="1" x14ac:dyDescent="0.4">
      <c r="B23" s="25" t="s">
        <v>12</v>
      </c>
      <c r="C23" s="26">
        <f>SUM(C14:C21)</f>
        <v>550910.66999999993</v>
      </c>
      <c r="D23" s="26">
        <f>SUM(D14:D21)</f>
        <v>630624.51</v>
      </c>
      <c r="E23" s="82">
        <f>SUM(E14:E21)</f>
        <v>624715.88</v>
      </c>
      <c r="F23" s="26">
        <f>SUM(F14:F21)</f>
        <v>667638.31500609673</v>
      </c>
      <c r="G23" s="26">
        <f>SUM(G14:G21)</f>
        <v>723959.1259150221</v>
      </c>
      <c r="H23" s="26">
        <f>SUM(H14:H21)</f>
        <v>782704.80322013341</v>
      </c>
      <c r="I23" s="26">
        <f>SUM(I14:I21)</f>
        <v>844043.87427881989</v>
      </c>
      <c r="J23" s="26">
        <f>SUM(J14:J21)</f>
        <v>912165.19231062895</v>
      </c>
      <c r="K23" s="26">
        <f>SUM(K14:K21)</f>
        <v>985967.20429808029</v>
      </c>
    </row>
    <row r="24" spans="2:11" x14ac:dyDescent="0.35">
      <c r="B24" s="4"/>
      <c r="C24" s="5"/>
      <c r="D24" s="5"/>
      <c r="E24" s="93"/>
      <c r="F24" s="5"/>
      <c r="G24" s="5"/>
      <c r="H24" s="5"/>
      <c r="I24" s="5"/>
      <c r="J24" s="5"/>
      <c r="K24" s="5"/>
    </row>
    <row r="25" spans="2:11" ht="15" thickBot="1" x14ac:dyDescent="0.4">
      <c r="B25" s="25" t="s">
        <v>13</v>
      </c>
      <c r="C25" s="26">
        <f>C11-C23</f>
        <v>63455.750000000116</v>
      </c>
      <c r="D25" s="26">
        <f>D11-D23</f>
        <v>82398.739999999991</v>
      </c>
      <c r="E25" s="82">
        <f>E11-E23</f>
        <v>75913.489999999991</v>
      </c>
      <c r="F25" s="26">
        <f>F11-F23</f>
        <v>80022.667392593925</v>
      </c>
      <c r="G25" s="26">
        <f>G11-G23</f>
        <v>82996.108807402081</v>
      </c>
      <c r="H25" s="26">
        <f>H11-H23</f>
        <v>88383.094815640477</v>
      </c>
      <c r="I25" s="26">
        <f>I11-I23</f>
        <v>96409.912396673346</v>
      </c>
      <c r="J25" s="26">
        <f>J11-J23</f>
        <v>103314.73951758456</v>
      </c>
      <c r="K25" s="26">
        <f>K11-K23</f>
        <v>110661.00612731569</v>
      </c>
    </row>
    <row r="26" spans="2:11" x14ac:dyDescent="0.35">
      <c r="B26" s="4"/>
      <c r="C26" s="5"/>
      <c r="D26" s="5"/>
      <c r="E26" s="93"/>
      <c r="F26" s="5"/>
      <c r="G26" s="5"/>
      <c r="H26" s="5"/>
      <c r="I26" s="5"/>
      <c r="J26" s="5"/>
      <c r="K26" s="5"/>
    </row>
    <row r="27" spans="2:11" ht="15" thickBot="1" x14ac:dyDescent="0.4">
      <c r="B27" s="25" t="s">
        <v>14</v>
      </c>
      <c r="C27" s="26">
        <f>SUM(C31:C32)</f>
        <v>16363.249999999998</v>
      </c>
      <c r="D27" s="26">
        <f>SUM(D31:D32)</f>
        <v>21798.3</v>
      </c>
      <c r="E27" s="82">
        <f>SUM(E31:E32)</f>
        <v>19511.350000000002</v>
      </c>
      <c r="F27" s="26">
        <f>'Revised IS'!F23</f>
        <v>20805.893522074417</v>
      </c>
      <c r="G27" s="26">
        <f>'Revised IS'!G23</f>
        <v>21512.745973537003</v>
      </c>
      <c r="H27" s="26">
        <f>'Revised IS'!H23</f>
        <v>23092.937179981825</v>
      </c>
      <c r="I27" s="26">
        <f>'Revised IS'!I23</f>
        <v>25081.619838788243</v>
      </c>
      <c r="J27" s="26">
        <f>'Revised IS'!J23</f>
        <v>26883.504100143622</v>
      </c>
      <c r="K27" s="26">
        <f>'Revised IS'!K23</f>
        <v>28833.179918815877</v>
      </c>
    </row>
    <row r="28" spans="2:11" x14ac:dyDescent="0.35">
      <c r="B28" s="4"/>
      <c r="C28" s="5"/>
      <c r="D28" s="5"/>
      <c r="E28" s="93"/>
      <c r="F28" s="5"/>
      <c r="G28" s="5"/>
      <c r="H28" s="5"/>
      <c r="I28" s="5"/>
      <c r="J28" s="5"/>
      <c r="K28" s="5"/>
    </row>
    <row r="29" spans="2:11" ht="15" thickBot="1" x14ac:dyDescent="0.4">
      <c r="B29" s="25" t="s">
        <v>15</v>
      </c>
      <c r="C29" s="26">
        <f>C25-C27</f>
        <v>47092.500000000116</v>
      </c>
      <c r="D29" s="26">
        <f>D25-D27</f>
        <v>60600.439999999988</v>
      </c>
      <c r="E29" s="82">
        <f>E25-E27</f>
        <v>56402.139999999985</v>
      </c>
      <c r="F29" s="26">
        <f>F25-F27</f>
        <v>59216.773870519508</v>
      </c>
      <c r="G29" s="26">
        <f>G25-G27</f>
        <v>61483.362833865074</v>
      </c>
      <c r="H29" s="26">
        <f>H25-H27</f>
        <v>65290.157635658652</v>
      </c>
      <c r="I29" s="26">
        <f>I25-I27</f>
        <v>71328.292557885099</v>
      </c>
      <c r="J29" s="26">
        <f>J25-J27</f>
        <v>76431.235417440941</v>
      </c>
      <c r="K29" s="26">
        <f>K25-K27</f>
        <v>81827.826208499813</v>
      </c>
    </row>
    <row r="30" spans="2:11" x14ac:dyDescent="0.35">
      <c r="C30" s="2"/>
      <c r="E30" s="49"/>
    </row>
    <row r="31" spans="2:11" x14ac:dyDescent="0.35">
      <c r="B31" s="53"/>
      <c r="C31" s="94">
        <v>18414.53</v>
      </c>
      <c r="D31" s="94">
        <v>22965.26</v>
      </c>
      <c r="E31" s="95">
        <v>20322.830000000002</v>
      </c>
      <c r="F31" s="53"/>
      <c r="G31" s="53"/>
      <c r="H31" s="53"/>
      <c r="I31" s="53"/>
      <c r="J31" s="53"/>
      <c r="K31" s="53"/>
    </row>
    <row r="32" spans="2:11" x14ac:dyDescent="0.35">
      <c r="C32" s="92">
        <v>-2051.2800000000002</v>
      </c>
      <c r="D32" s="92">
        <v>-1166.96</v>
      </c>
      <c r="E32" s="92">
        <v>-811.48</v>
      </c>
    </row>
    <row r="33" spans="3:3" x14ac:dyDescent="0.35">
      <c r="C33" s="2"/>
    </row>
    <row r="34" spans="3:3" x14ac:dyDescent="0.35">
      <c r="C34" s="2"/>
    </row>
  </sheetData>
  <sheetProtection algorithmName="SHA-512" hashValue="rG0e/HsHwZr3iJvaL3aurOk5N4Hw3kvZba1tCmes54Nosafmnp+v+76b422sqeOjtSn0AEqaKCE/MrlRmWvQgQ==" saltValue="qv+DY6H2KyV/LQQg6wN3v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F9DC-6C72-4682-A20F-1BA9E9F1FAAB}">
  <dimension ref="A1:N48"/>
  <sheetViews>
    <sheetView workbookViewId="0">
      <pane ySplit="6" topLeftCell="A7" activePane="bottomLeft" state="frozen"/>
      <selection activeCell="B12" sqref="B12"/>
      <selection pane="bottomLeft" activeCell="J4" sqref="J4"/>
    </sheetView>
  </sheetViews>
  <sheetFormatPr defaultColWidth="0" defaultRowHeight="14.5" x14ac:dyDescent="0.35"/>
  <cols>
    <col min="1" max="1" width="1.81640625" customWidth="1"/>
    <col min="2" max="2" width="34.6328125" customWidth="1"/>
    <col min="3" max="5" width="8.7265625" customWidth="1"/>
    <col min="6" max="6" width="8.90625" customWidth="1"/>
    <col min="7" max="12" width="8.726562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47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47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47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7"/>
      <c r="F4" s="3"/>
      <c r="G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48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ht="15" thickBot="1" x14ac:dyDescent="0.4">
      <c r="E7" s="49"/>
    </row>
    <row r="8" spans="1:12" ht="15" thickBot="1" x14ac:dyDescent="0.4">
      <c r="B8" s="27" t="s">
        <v>1</v>
      </c>
      <c r="C8" s="28"/>
      <c r="D8" s="28"/>
      <c r="E8" s="89"/>
      <c r="F8" s="28"/>
      <c r="G8" s="28"/>
      <c r="H8" s="28"/>
      <c r="I8" s="28"/>
      <c r="J8" s="28"/>
      <c r="K8" s="28"/>
      <c r="L8" s="28"/>
    </row>
    <row r="9" spans="1:12" ht="15" thickTop="1" x14ac:dyDescent="0.35">
      <c r="E9" s="49"/>
    </row>
    <row r="10" spans="1:12" x14ac:dyDescent="0.35">
      <c r="B10" t="s">
        <v>33</v>
      </c>
      <c r="C10" s="8">
        <v>559196.04</v>
      </c>
      <c r="D10" s="8">
        <v>643525.06000000006</v>
      </c>
      <c r="E10" s="68">
        <v>630827.86</v>
      </c>
      <c r="F10" s="2">
        <f>SUM(F16:F17)</f>
        <v>681271.58946597017</v>
      </c>
      <c r="G10" s="2">
        <f t="shared" ref="G10:K10" si="1">SUM(G16:G17)</f>
        <v>736863.35116639361</v>
      </c>
      <c r="H10" s="2">
        <f t="shared" si="1"/>
        <v>796991.40062157123</v>
      </c>
      <c r="I10" s="2">
        <f t="shared" si="1"/>
        <v>862025.89891229162</v>
      </c>
      <c r="J10" s="2">
        <f t="shared" si="1"/>
        <v>932367.21226353466</v>
      </c>
      <c r="K10" s="2">
        <f t="shared" si="1"/>
        <v>1008448.3767842392</v>
      </c>
    </row>
    <row r="11" spans="1:12" x14ac:dyDescent="0.35">
      <c r="B11" t="s">
        <v>34</v>
      </c>
      <c r="C11" s="8">
        <v>31831.84</v>
      </c>
      <c r="D11" s="8">
        <v>42372.800000000003</v>
      </c>
      <c r="E11" s="68">
        <v>48595.92</v>
      </c>
      <c r="F11" s="2">
        <f>F10*F46</f>
        <v>45373.659599387225</v>
      </c>
      <c r="G11" s="2">
        <f t="shared" ref="G11:K11" si="2">G10*G46</f>
        <v>49076.150222697237</v>
      </c>
      <c r="H11" s="2">
        <f t="shared" si="2"/>
        <v>53080.764080869325</v>
      </c>
      <c r="I11" s="2">
        <f t="shared" si="2"/>
        <v>57412.154429868278</v>
      </c>
      <c r="J11" s="2">
        <f t="shared" si="2"/>
        <v>62096.986231345531</v>
      </c>
      <c r="K11" s="2">
        <f t="shared" si="2"/>
        <v>67164.100307823333</v>
      </c>
    </row>
    <row r="12" spans="1:12" x14ac:dyDescent="0.35">
      <c r="B12" t="s">
        <v>35</v>
      </c>
      <c r="C12" s="8">
        <v>12047.92</v>
      </c>
      <c r="D12" s="8">
        <v>12392.71</v>
      </c>
      <c r="E12" s="68">
        <v>12505.1</v>
      </c>
      <c r="F12" s="11">
        <f>AVERAGE($C$12:$E$12)</f>
        <v>12315.243333333332</v>
      </c>
      <c r="G12" s="11">
        <f>AVERAGE($C$12:$E$12)</f>
        <v>12315.243333333332</v>
      </c>
      <c r="H12" s="11">
        <f>AVERAGE($C$12:$E$12)</f>
        <v>12315.243333333332</v>
      </c>
      <c r="I12" s="11">
        <f>AVERAGE($C$12:$E$12)</f>
        <v>12315.243333333332</v>
      </c>
      <c r="J12" s="11">
        <f>AVERAGE($C$12:$E$12)</f>
        <v>12315.243333333332</v>
      </c>
      <c r="K12" s="11">
        <f>AVERAGE($C$12:$E$12)</f>
        <v>12315.243333333332</v>
      </c>
    </row>
    <row r="13" spans="1:12" ht="15" thickBot="1" x14ac:dyDescent="0.4">
      <c r="C13" s="7"/>
      <c r="D13" s="7"/>
      <c r="E13" s="69"/>
    </row>
    <row r="14" spans="1:12" ht="15" thickBot="1" x14ac:dyDescent="0.4">
      <c r="B14" s="27" t="s">
        <v>36</v>
      </c>
      <c r="C14" s="28"/>
      <c r="D14" s="28"/>
      <c r="E14" s="89"/>
      <c r="F14" s="28"/>
      <c r="G14" s="28"/>
      <c r="H14" s="28"/>
      <c r="I14" s="28"/>
      <c r="J14" s="28"/>
      <c r="K14" s="28"/>
      <c r="L14" s="27"/>
    </row>
    <row r="15" spans="1:12" ht="15" thickTop="1" x14ac:dyDescent="0.35">
      <c r="C15" s="7"/>
      <c r="D15" s="7"/>
      <c r="E15" s="69"/>
    </row>
    <row r="16" spans="1:12" x14ac:dyDescent="0.35">
      <c r="B16" t="s">
        <v>37</v>
      </c>
      <c r="C16" s="8">
        <v>522709.37</v>
      </c>
      <c r="D16" s="8">
        <v>600395.43999999994</v>
      </c>
      <c r="E16" s="68">
        <v>587771.41</v>
      </c>
      <c r="F16" s="2">
        <f>SUM(F21:F22)</f>
        <v>635733.55705599999</v>
      </c>
      <c r="G16" s="2">
        <f t="shared" ref="G16:K16" si="3">SUM(G21:G22)</f>
        <v>687609.41531176982</v>
      </c>
      <c r="H16" s="2">
        <f t="shared" si="3"/>
        <v>743718.34360121016</v>
      </c>
      <c r="I16" s="2">
        <f t="shared" si="3"/>
        <v>804405.76043906901</v>
      </c>
      <c r="J16" s="2">
        <f t="shared" si="3"/>
        <v>870045.27049089712</v>
      </c>
      <c r="K16" s="2">
        <f t="shared" si="3"/>
        <v>941040.96456295438</v>
      </c>
    </row>
    <row r="17" spans="2:12" x14ac:dyDescent="0.35">
      <c r="B17" t="s">
        <v>38</v>
      </c>
      <c r="C17" s="8">
        <v>36486.67</v>
      </c>
      <c r="D17" s="8">
        <v>43129.62</v>
      </c>
      <c r="E17" s="68">
        <v>43056.45</v>
      </c>
      <c r="F17" s="2">
        <f>F16*F44</f>
        <v>45538.032409970212</v>
      </c>
      <c r="G17" s="2">
        <f t="shared" ref="G17:K17" si="4">G16*G44</f>
        <v>49253.9358546238</v>
      </c>
      <c r="H17" s="2">
        <f t="shared" si="4"/>
        <v>53273.057020361099</v>
      </c>
      <c r="I17" s="2">
        <f t="shared" si="4"/>
        <v>57620.138473222571</v>
      </c>
      <c r="J17" s="2">
        <f t="shared" si="4"/>
        <v>62321.94177263754</v>
      </c>
      <c r="K17" s="2">
        <f t="shared" si="4"/>
        <v>67407.412221284758</v>
      </c>
    </row>
    <row r="18" spans="2:12" ht="15" thickBot="1" x14ac:dyDescent="0.4">
      <c r="C18" s="7"/>
      <c r="D18" s="7"/>
      <c r="E18" s="69"/>
    </row>
    <row r="19" spans="2:12" ht="15" thickBot="1" x14ac:dyDescent="0.4">
      <c r="B19" s="27" t="s">
        <v>39</v>
      </c>
      <c r="C19" s="28"/>
      <c r="D19" s="28"/>
      <c r="E19" s="89"/>
      <c r="F19" s="28"/>
      <c r="G19" s="28"/>
      <c r="H19" s="28"/>
      <c r="I19" s="28"/>
      <c r="J19" s="28"/>
      <c r="K19" s="28"/>
      <c r="L19" s="27"/>
    </row>
    <row r="20" spans="2:12" ht="15" thickTop="1" x14ac:dyDescent="0.35">
      <c r="C20" s="7"/>
      <c r="D20" s="7"/>
      <c r="E20" s="69"/>
    </row>
    <row r="21" spans="2:12" x14ac:dyDescent="0.35">
      <c r="B21" t="s">
        <v>40</v>
      </c>
      <c r="C21" s="8">
        <v>400980.14</v>
      </c>
      <c r="D21" s="8">
        <v>464979.85</v>
      </c>
      <c r="E21" s="68">
        <v>459314.42</v>
      </c>
      <c r="F21" s="2">
        <f>(F26*F31)/1000</f>
        <v>496794.47667200002</v>
      </c>
      <c r="G21" s="2">
        <f t="shared" ref="G21:K21" si="5">(G26*G31)/1000</f>
        <v>537332.90596843534</v>
      </c>
      <c r="H21" s="2">
        <f t="shared" si="5"/>
        <v>581179.27109545958</v>
      </c>
      <c r="I21" s="2">
        <f t="shared" si="5"/>
        <v>628603.49961684924</v>
      </c>
      <c r="J21" s="2">
        <f t="shared" si="5"/>
        <v>679897.54518558411</v>
      </c>
      <c r="K21" s="2">
        <f t="shared" si="5"/>
        <v>735377.18487272784</v>
      </c>
    </row>
    <row r="22" spans="2:12" x14ac:dyDescent="0.35">
      <c r="B22" t="s">
        <v>41</v>
      </c>
      <c r="C22" s="8">
        <v>121729.23</v>
      </c>
      <c r="D22" s="8">
        <v>135415.59</v>
      </c>
      <c r="E22" s="68">
        <v>128456.99</v>
      </c>
      <c r="F22" s="2">
        <f>(F27*F32)/1000</f>
        <v>138939.08038400003</v>
      </c>
      <c r="G22" s="2">
        <f t="shared" ref="G22:K22" si="6">(G27*G32)/1000</f>
        <v>150276.50934333444</v>
      </c>
      <c r="H22" s="2">
        <f t="shared" si="6"/>
        <v>162539.07250575055</v>
      </c>
      <c r="I22" s="2">
        <f t="shared" si="6"/>
        <v>175802.26082221983</v>
      </c>
      <c r="J22" s="2">
        <f t="shared" si="6"/>
        <v>190147.72530531295</v>
      </c>
      <c r="K22" s="2">
        <f t="shared" si="6"/>
        <v>205663.77969022651</v>
      </c>
    </row>
    <row r="23" spans="2:12" ht="15" thickBot="1" x14ac:dyDescent="0.4">
      <c r="C23" s="7"/>
      <c r="D23" s="7"/>
      <c r="E23" s="69"/>
    </row>
    <row r="24" spans="2:12" ht="15" thickBot="1" x14ac:dyDescent="0.4">
      <c r="B24" s="27" t="s">
        <v>42</v>
      </c>
      <c r="C24" s="28"/>
      <c r="D24" s="28"/>
      <c r="E24" s="89"/>
      <c r="F24" s="28"/>
      <c r="G24" s="28"/>
      <c r="H24" s="28"/>
      <c r="I24" s="28"/>
      <c r="J24" s="28"/>
      <c r="K24" s="28"/>
      <c r="L24" s="27"/>
    </row>
    <row r="25" spans="2:12" ht="15" thickTop="1" x14ac:dyDescent="0.35">
      <c r="C25" s="7"/>
      <c r="D25" s="7"/>
      <c r="E25" s="69"/>
    </row>
    <row r="26" spans="2:12" x14ac:dyDescent="0.35">
      <c r="B26" t="s">
        <v>40</v>
      </c>
      <c r="C26" s="8">
        <v>567546</v>
      </c>
      <c r="D26" s="8">
        <v>614721</v>
      </c>
      <c r="E26" s="68">
        <v>598666</v>
      </c>
      <c r="F26" s="2">
        <f>E26*(1+F41)</f>
        <v>622612.64</v>
      </c>
      <c r="G26" s="2">
        <f t="shared" ref="G26:K26" si="7">F26*(1+G41)</f>
        <v>647517.14560000005</v>
      </c>
      <c r="H26" s="2">
        <f t="shared" si="7"/>
        <v>673417.83142400009</v>
      </c>
      <c r="I26" s="2">
        <f t="shared" si="7"/>
        <v>700354.54468096013</v>
      </c>
      <c r="J26" s="2">
        <f t="shared" si="7"/>
        <v>728368.72646819858</v>
      </c>
      <c r="K26" s="2">
        <f t="shared" si="7"/>
        <v>757503.47552692657</v>
      </c>
    </row>
    <row r="27" spans="2:12" x14ac:dyDescent="0.35">
      <c r="B27" t="s">
        <v>41</v>
      </c>
      <c r="C27" s="8">
        <v>153019</v>
      </c>
      <c r="D27" s="8">
        <v>163155</v>
      </c>
      <c r="E27" s="68">
        <v>163386</v>
      </c>
      <c r="F27" s="2">
        <f>E27*(1+F42)</f>
        <v>169921.44</v>
      </c>
      <c r="G27" s="2">
        <f t="shared" ref="G27:K27" si="8">F27*(1+G42)</f>
        <v>176718.29760000002</v>
      </c>
      <c r="H27" s="2">
        <f t="shared" si="8"/>
        <v>183787.02950400003</v>
      </c>
      <c r="I27" s="2">
        <f t="shared" si="8"/>
        <v>191138.51068416005</v>
      </c>
      <c r="J27" s="2">
        <f t="shared" si="8"/>
        <v>198784.05111152647</v>
      </c>
      <c r="K27" s="2">
        <f t="shared" si="8"/>
        <v>206735.41315598754</v>
      </c>
    </row>
    <row r="28" spans="2:12" ht="15" thickBot="1" x14ac:dyDescent="0.4">
      <c r="E28" s="49"/>
    </row>
    <row r="29" spans="2:12" ht="15" thickBot="1" x14ac:dyDescent="0.4">
      <c r="B29" s="27" t="s">
        <v>43</v>
      </c>
      <c r="C29" s="28"/>
      <c r="D29" s="28"/>
      <c r="E29" s="89"/>
      <c r="F29" s="28"/>
      <c r="G29" s="28"/>
      <c r="H29" s="28"/>
      <c r="I29" s="28"/>
      <c r="J29" s="28"/>
      <c r="K29" s="28"/>
      <c r="L29" s="27"/>
    </row>
    <row r="30" spans="2:12" ht="15" thickTop="1" x14ac:dyDescent="0.35">
      <c r="E30" s="49"/>
    </row>
    <row r="31" spans="2:12" x14ac:dyDescent="0.35">
      <c r="B31" t="s">
        <v>40</v>
      </c>
      <c r="C31" s="2">
        <f>(C21/C26*1000000)/1000</f>
        <v>706.51566569053443</v>
      </c>
      <c r="D31" s="2">
        <f t="shared" ref="D31:E32" si="9">(D21/D26*1000000)/1000</f>
        <v>756.40794767056923</v>
      </c>
      <c r="E31" s="50">
        <f t="shared" si="9"/>
        <v>767.22984101318593</v>
      </c>
      <c r="F31" s="2">
        <f>E31*(1+F36)</f>
        <v>797.91903465371342</v>
      </c>
      <c r="G31" s="2">
        <f t="shared" ref="G31:K32" si="10">F31*(1+G36)</f>
        <v>829.83579603986198</v>
      </c>
      <c r="H31" s="2">
        <f t="shared" si="10"/>
        <v>863.02922788145645</v>
      </c>
      <c r="I31" s="2">
        <f t="shared" si="10"/>
        <v>897.55039699671477</v>
      </c>
      <c r="J31" s="2">
        <f t="shared" si="10"/>
        <v>933.45241287658337</v>
      </c>
      <c r="K31" s="2">
        <f t="shared" si="10"/>
        <v>970.79050939164676</v>
      </c>
    </row>
    <row r="32" spans="2:12" x14ac:dyDescent="0.35">
      <c r="B32" t="s">
        <v>41</v>
      </c>
      <c r="C32" s="2">
        <f>(C22/C27*1000000)/1000</f>
        <v>795.51709264862541</v>
      </c>
      <c r="D32" s="2">
        <f t="shared" si="9"/>
        <v>829.98124482853734</v>
      </c>
      <c r="E32" s="50">
        <f t="shared" si="9"/>
        <v>786.21785220275922</v>
      </c>
      <c r="F32" s="2">
        <f>E32*(1+F37)</f>
        <v>817.66656629086958</v>
      </c>
      <c r="G32" s="2">
        <f t="shared" si="10"/>
        <v>850.3732289425044</v>
      </c>
      <c r="H32" s="2">
        <f t="shared" si="10"/>
        <v>884.38815810020458</v>
      </c>
      <c r="I32" s="2">
        <f t="shared" si="10"/>
        <v>919.76368442421278</v>
      </c>
      <c r="J32" s="2">
        <f t="shared" si="10"/>
        <v>956.55423180118134</v>
      </c>
      <c r="K32" s="2">
        <f t="shared" si="10"/>
        <v>994.81640107322858</v>
      </c>
    </row>
    <row r="33" spans="2:12" ht="15" thickBot="1" x14ac:dyDescent="0.4">
      <c r="E33" s="49"/>
    </row>
    <row r="34" spans="2:12" ht="15" thickBot="1" x14ac:dyDescent="0.4">
      <c r="B34" s="27" t="s">
        <v>44</v>
      </c>
      <c r="C34" s="28"/>
      <c r="D34" s="28"/>
      <c r="E34" s="89"/>
      <c r="F34" s="28"/>
      <c r="G34" s="28"/>
      <c r="H34" s="28"/>
      <c r="I34" s="28"/>
      <c r="J34" s="28"/>
      <c r="K34" s="28"/>
      <c r="L34" s="27"/>
    </row>
    <row r="35" spans="2:12" ht="15" thickTop="1" x14ac:dyDescent="0.35">
      <c r="E35" s="49"/>
    </row>
    <row r="36" spans="2:12" x14ac:dyDescent="0.35">
      <c r="B36" t="s">
        <v>45</v>
      </c>
      <c r="D36" s="14">
        <f t="shared" ref="D36" si="11">D31/C31-1</f>
        <v>7.0617375385825465E-2</v>
      </c>
      <c r="E36" s="72">
        <f>E31/D31-1</f>
        <v>1.4306953510924592E-2</v>
      </c>
      <c r="F36" s="29">
        <v>0.04</v>
      </c>
      <c r="G36" s="29">
        <v>0.04</v>
      </c>
      <c r="H36" s="29">
        <v>0.04</v>
      </c>
      <c r="I36" s="29">
        <v>0.04</v>
      </c>
      <c r="J36" s="29">
        <v>0.04</v>
      </c>
      <c r="K36" s="29">
        <v>0.04</v>
      </c>
    </row>
    <row r="37" spans="2:12" x14ac:dyDescent="0.35">
      <c r="B37" t="s">
        <v>41</v>
      </c>
      <c r="D37" s="14">
        <f t="shared" ref="D37" si="12">D32/C32-1</f>
        <v>4.3322956223562192E-2</v>
      </c>
      <c r="E37" s="72">
        <f>E32/D32-1</f>
        <v>-5.2728170544165787E-2</v>
      </c>
      <c r="F37" s="29">
        <v>0.04</v>
      </c>
      <c r="G37" s="29">
        <v>0.04</v>
      </c>
      <c r="H37" s="29">
        <v>0.04</v>
      </c>
      <c r="I37" s="29">
        <v>0.04</v>
      </c>
      <c r="J37" s="29">
        <v>0.04</v>
      </c>
      <c r="K37" s="29">
        <v>0.04</v>
      </c>
    </row>
    <row r="38" spans="2:12" ht="15" thickBot="1" x14ac:dyDescent="0.4">
      <c r="E38" s="49"/>
    </row>
    <row r="39" spans="2:12" ht="15" thickBot="1" x14ac:dyDescent="0.4">
      <c r="B39" s="27" t="s">
        <v>46</v>
      </c>
      <c r="C39" s="28"/>
      <c r="D39" s="28"/>
      <c r="E39" s="89"/>
      <c r="F39" s="28"/>
      <c r="G39" s="28"/>
      <c r="H39" s="28"/>
      <c r="I39" s="28"/>
      <c r="J39" s="28"/>
      <c r="K39" s="28"/>
      <c r="L39" s="27"/>
    </row>
    <row r="40" spans="2:12" ht="15" thickTop="1" x14ac:dyDescent="0.35">
      <c r="E40" s="49"/>
    </row>
    <row r="41" spans="2:12" x14ac:dyDescent="0.35">
      <c r="B41" t="s">
        <v>40</v>
      </c>
      <c r="D41" s="14">
        <f>D26/C26-1</f>
        <v>8.3121015741455251E-2</v>
      </c>
      <c r="E41" s="72">
        <f>E26/D26-1</f>
        <v>-2.611753950166007E-2</v>
      </c>
      <c r="F41" s="29">
        <v>0.04</v>
      </c>
      <c r="G41" s="29">
        <v>0.04</v>
      </c>
      <c r="H41" s="29">
        <v>0.04</v>
      </c>
      <c r="I41" s="29">
        <v>0.04</v>
      </c>
      <c r="J41" s="29">
        <v>0.04</v>
      </c>
      <c r="K41" s="29">
        <v>0.04</v>
      </c>
    </row>
    <row r="42" spans="2:12" x14ac:dyDescent="0.35">
      <c r="B42" t="s">
        <v>41</v>
      </c>
      <c r="D42" s="14">
        <f>D27/C27-1</f>
        <v>6.6240140113319246E-2</v>
      </c>
      <c r="E42" s="72">
        <f>E27/D27-1</f>
        <v>1.4158315712053948E-3</v>
      </c>
      <c r="F42" s="29">
        <v>0.04</v>
      </c>
      <c r="G42" s="29">
        <v>0.04</v>
      </c>
      <c r="H42" s="29">
        <v>0.04</v>
      </c>
      <c r="I42" s="29">
        <v>0.04</v>
      </c>
      <c r="J42" s="29">
        <v>0.04</v>
      </c>
      <c r="K42" s="29">
        <v>0.04</v>
      </c>
    </row>
    <row r="43" spans="2:12" x14ac:dyDescent="0.35">
      <c r="E43" s="49"/>
    </row>
    <row r="44" spans="2:12" x14ac:dyDescent="0.35">
      <c r="B44" t="s">
        <v>47</v>
      </c>
      <c r="C44" s="15">
        <f>C17/C16</f>
        <v>6.9802976747862774E-2</v>
      </c>
      <c r="D44" s="15">
        <f t="shared" ref="D44:E44" si="13">D17/D16</f>
        <v>7.1835355711562382E-2</v>
      </c>
      <c r="E44" s="51">
        <f t="shared" si="13"/>
        <v>7.3253733113694652E-2</v>
      </c>
      <c r="F44" s="46">
        <f>AVERAGE($C44:$E44)</f>
        <v>7.1630688524373265E-2</v>
      </c>
      <c r="G44" s="46">
        <f>AVERAGE($C44:$E44)</f>
        <v>7.1630688524373265E-2</v>
      </c>
      <c r="H44" s="46">
        <f>AVERAGE($C44:$E44)</f>
        <v>7.1630688524373265E-2</v>
      </c>
      <c r="I44" s="46">
        <f>AVERAGE($C44:$E44)</f>
        <v>7.1630688524373265E-2</v>
      </c>
      <c r="J44" s="46">
        <f>AVERAGE($C44:$E44)</f>
        <v>7.1630688524373265E-2</v>
      </c>
      <c r="K44" s="46">
        <f>AVERAGE($C44:$E44)</f>
        <v>7.1630688524373265E-2</v>
      </c>
    </row>
    <row r="45" spans="2:12" x14ac:dyDescent="0.35">
      <c r="C45" s="22"/>
      <c r="D45" s="22"/>
      <c r="E45" s="90"/>
      <c r="F45" s="46"/>
      <c r="G45" s="46"/>
      <c r="H45" s="46"/>
      <c r="I45" s="46"/>
      <c r="J45" s="46"/>
      <c r="K45" s="46"/>
    </row>
    <row r="46" spans="2:12" x14ac:dyDescent="0.35">
      <c r="B46" t="s">
        <v>48</v>
      </c>
      <c r="C46" s="15">
        <f>C11/C10</f>
        <v>5.6924294385203439E-2</v>
      </c>
      <c r="D46" s="15">
        <f t="shared" ref="D46:E46" si="14">D11/D10</f>
        <v>6.5844832833705028E-2</v>
      </c>
      <c r="E46" s="51">
        <f t="shared" si="14"/>
        <v>7.7035151871700777E-2</v>
      </c>
      <c r="F46" s="46">
        <f>AVERAGE($C46:$E46)</f>
        <v>6.6601426363536415E-2</v>
      </c>
      <c r="G46" s="46">
        <f>AVERAGE($C46:$E46)</f>
        <v>6.6601426363536415E-2</v>
      </c>
      <c r="H46" s="46">
        <f>AVERAGE($C46:$E46)</f>
        <v>6.6601426363536415E-2</v>
      </c>
      <c r="I46" s="46">
        <f>AVERAGE($C46:$E46)</f>
        <v>6.6601426363536415E-2</v>
      </c>
      <c r="J46" s="46">
        <f>AVERAGE($C46:$E46)</f>
        <v>6.6601426363536415E-2</v>
      </c>
      <c r="K46" s="46">
        <f>AVERAGE($C46:$E46)</f>
        <v>6.6601426363536415E-2</v>
      </c>
    </row>
    <row r="47" spans="2:12" x14ac:dyDescent="0.35">
      <c r="E47" s="49"/>
    </row>
    <row r="48" spans="2:12" x14ac:dyDescent="0.35">
      <c r="B48" s="53"/>
      <c r="C48" s="53"/>
      <c r="D48" s="53"/>
      <c r="E48" s="54"/>
      <c r="F48" s="53"/>
      <c r="G48" s="53"/>
      <c r="H48" s="53"/>
      <c r="I48" s="53"/>
      <c r="J48" s="53"/>
      <c r="K48" s="53"/>
      <c r="L48" s="53"/>
    </row>
  </sheetData>
  <sheetProtection algorithmName="SHA-512" hashValue="GbH71f14UfDoq2Z7oTe0AwMMsgsxR/ZYp9DZ0qETrzXyQ6O1j2M71s6TMWfcNYfz7lRvl/OmCHqWBoTjKeaVTg==" saltValue="UAvsdpkn2y8jpvyFZ+TgFA==" spinCount="100000" sheet="1" objects="1" scenarios="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2E49-87EB-456B-868C-74C993C766F2}">
  <dimension ref="A1:N29"/>
  <sheetViews>
    <sheetView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0" defaultRowHeight="14.5" x14ac:dyDescent="0.35"/>
  <cols>
    <col min="1" max="1" width="1.81640625" customWidth="1"/>
    <col min="2" max="2" width="34.6328125" customWidth="1"/>
    <col min="3" max="4" width="8.7265625" customWidth="1"/>
    <col min="5" max="5" width="8.7265625" style="52" customWidth="1"/>
    <col min="6" max="12" width="8.726562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47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47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47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7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48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x14ac:dyDescent="0.35">
      <c r="E7" s="49"/>
    </row>
    <row r="8" spans="1:12" x14ac:dyDescent="0.35">
      <c r="B8" t="s">
        <v>49</v>
      </c>
      <c r="C8" s="2">
        <f>'Revised IS'!C8</f>
        <v>603075.80000000005</v>
      </c>
      <c r="D8" s="2">
        <f>'Revised IS'!D8</f>
        <v>698290.57</v>
      </c>
      <c r="E8" s="50">
        <f>'Revised IS'!E8</f>
        <v>691928.88</v>
      </c>
      <c r="F8" s="2">
        <f>'Revised IS'!F8</f>
        <v>738960.49239869067</v>
      </c>
      <c r="G8" s="2">
        <f>'Revised IS'!G8</f>
        <v>798254.74472242419</v>
      </c>
      <c r="H8" s="2">
        <f>'Revised IS'!H8</f>
        <v>862387.4080357739</v>
      </c>
      <c r="I8" s="2">
        <f>'Revised IS'!I8</f>
        <v>931753.29667549324</v>
      </c>
      <c r="J8" s="2">
        <f>'Revised IS'!J8</f>
        <v>1006779.4418282135</v>
      </c>
      <c r="K8" s="2">
        <f>'Revised IS'!K8</f>
        <v>1087927.720425396</v>
      </c>
    </row>
    <row r="9" spans="1:12" x14ac:dyDescent="0.35">
      <c r="E9" s="49"/>
    </row>
    <row r="10" spans="1:12" x14ac:dyDescent="0.35">
      <c r="E10" s="49"/>
    </row>
    <row r="11" spans="1:12" x14ac:dyDescent="0.35">
      <c r="B11" t="s">
        <v>19</v>
      </c>
      <c r="C11" s="2">
        <v>449827.03999999992</v>
      </c>
      <c r="D11" s="2">
        <v>515389.01</v>
      </c>
      <c r="E11" s="50">
        <v>499289.41</v>
      </c>
      <c r="F11" s="2">
        <f>F8*F19</f>
        <v>532051.55452705722</v>
      </c>
      <c r="G11" s="2">
        <f>G8*G19</f>
        <v>574743.41620014538</v>
      </c>
      <c r="H11" s="2">
        <f>H8*H19</f>
        <v>620918.93378575717</v>
      </c>
      <c r="I11" s="2">
        <f>I8*I19</f>
        <v>670862.37360635516</v>
      </c>
      <c r="J11" s="2">
        <f>J8*J19</f>
        <v>724881.19811631367</v>
      </c>
      <c r="K11" s="2">
        <f>K8*K19</f>
        <v>783307.95870628511</v>
      </c>
    </row>
    <row r="12" spans="1:12" x14ac:dyDescent="0.35">
      <c r="B12" t="s">
        <v>21</v>
      </c>
      <c r="C12" s="2">
        <v>17662.259999999998</v>
      </c>
      <c r="D12" s="2">
        <v>19754.88</v>
      </c>
      <c r="E12" s="50">
        <v>23112.09</v>
      </c>
      <c r="F12" s="2">
        <f>F8*F20</f>
        <v>22410.138463083116</v>
      </c>
      <c r="G12" s="2">
        <f>G8*G20</f>
        <v>24208.32986615333</v>
      </c>
      <c r="H12" s="2">
        <f>H8*H20</f>
        <v>26153.253687714056</v>
      </c>
      <c r="I12" s="2">
        <f>I8*I20</f>
        <v>28256.883293114148</v>
      </c>
      <c r="J12" s="2">
        <f>J8*J20</f>
        <v>30532.169074314879</v>
      </c>
      <c r="K12" s="2">
        <f>K8*K20</f>
        <v>32993.118175261603</v>
      </c>
    </row>
    <row r="13" spans="1:12" x14ac:dyDescent="0.35">
      <c r="B13" t="s">
        <v>22</v>
      </c>
      <c r="C13" s="2">
        <v>60098.7</v>
      </c>
      <c r="D13" s="2">
        <v>71820.52</v>
      </c>
      <c r="E13" s="50">
        <v>79989.8</v>
      </c>
      <c r="F13" s="2">
        <f>F8*F21</f>
        <v>88675.259087842875</v>
      </c>
      <c r="G13" s="2">
        <f>G8*G21</f>
        <v>97786.206228496958</v>
      </c>
      <c r="H13" s="2">
        <f>H8*H21</f>
        <v>105642.45748438231</v>
      </c>
      <c r="I13" s="2">
        <f>I8*I21</f>
        <v>114139.77884274792</v>
      </c>
      <c r="J13" s="2">
        <f>J8*J21</f>
        <v>123330.48162395615</v>
      </c>
      <c r="K13" s="2">
        <f>K8*K21</f>
        <v>133271.14575211101</v>
      </c>
    </row>
    <row r="14" spans="1:12" x14ac:dyDescent="0.35">
      <c r="B14" t="s">
        <v>29</v>
      </c>
      <c r="C14" s="2">
        <v>16363.249999999998</v>
      </c>
      <c r="D14" s="2">
        <v>21798.3</v>
      </c>
      <c r="E14" s="50">
        <v>19511.350000000002</v>
      </c>
      <c r="F14" s="2">
        <f>F15*'Revised IS'!F22</f>
        <v>20805.893522074417</v>
      </c>
      <c r="G14" s="2">
        <f>G15*'Revised IS'!G22</f>
        <v>21512.745973537003</v>
      </c>
      <c r="H14" s="2">
        <f>H15*'Revised IS'!H22</f>
        <v>23092.937179981825</v>
      </c>
      <c r="I14" s="2">
        <f>I15*'Revised IS'!I22</f>
        <v>25081.619838788243</v>
      </c>
      <c r="J14" s="2">
        <f>J15*'Revised IS'!J22</f>
        <v>26883.504100143622</v>
      </c>
      <c r="K14" s="2">
        <f>K15*'Revised IS'!K22</f>
        <v>28833.179918815877</v>
      </c>
    </row>
    <row r="15" spans="1:12" x14ac:dyDescent="0.35">
      <c r="C15" s="15">
        <f>C14/'Revised IS'!C22</f>
        <v>0.25786867226374227</v>
      </c>
      <c r="D15" s="15">
        <f>D14/'Revised IS'!D22</f>
        <v>0.26454652097835496</v>
      </c>
      <c r="E15" s="51">
        <f>E14/'Revised IS'!E22</f>
        <v>0.25702085360586102</v>
      </c>
      <c r="F15" s="15">
        <v>0.26</v>
      </c>
      <c r="G15" s="9">
        <v>0.26</v>
      </c>
      <c r="H15" s="9">
        <v>0.26</v>
      </c>
      <c r="I15" s="9">
        <v>0.26</v>
      </c>
      <c r="J15" s="9">
        <v>0.26</v>
      </c>
      <c r="K15" s="9">
        <v>0.26</v>
      </c>
    </row>
    <row r="16" spans="1:12" x14ac:dyDescent="0.35">
      <c r="E16" s="49"/>
    </row>
    <row r="17" spans="2:12" x14ac:dyDescent="0.35">
      <c r="B17" t="s">
        <v>50</v>
      </c>
      <c r="E17" s="49"/>
    </row>
    <row r="18" spans="2:12" x14ac:dyDescent="0.35">
      <c r="E18" s="49"/>
    </row>
    <row r="19" spans="2:12" x14ac:dyDescent="0.35">
      <c r="B19" t="s">
        <v>19</v>
      </c>
      <c r="C19" s="15">
        <f>C11/C8</f>
        <v>0.74588806249562645</v>
      </c>
      <c r="D19" s="15">
        <f>D11/D8</f>
        <v>0.7380724187640112</v>
      </c>
      <c r="E19" s="51">
        <f>E11/E8</f>
        <v>0.72159064960549124</v>
      </c>
      <c r="F19" s="32">
        <v>0.72</v>
      </c>
      <c r="G19" s="32">
        <v>0.72</v>
      </c>
      <c r="H19" s="32">
        <v>0.72</v>
      </c>
      <c r="I19" s="32">
        <v>0.72</v>
      </c>
      <c r="J19" s="32">
        <v>0.72</v>
      </c>
      <c r="K19" s="32">
        <v>0.72</v>
      </c>
    </row>
    <row r="20" spans="2:12" x14ac:dyDescent="0.35">
      <c r="B20" t="s">
        <v>21</v>
      </c>
      <c r="C20" s="15">
        <f>C12/C8</f>
        <v>2.928696525378733E-2</v>
      </c>
      <c r="D20" s="15">
        <f>D12/D8</f>
        <v>2.8290343373819301E-2</v>
      </c>
      <c r="E20" s="51">
        <f>E12/E8</f>
        <v>3.3402406906328293E-2</v>
      </c>
      <c r="F20" s="33">
        <f>AVERAGE($C20:$E20)</f>
        <v>3.0326571844644972E-2</v>
      </c>
      <c r="G20" s="33">
        <f>AVERAGE($C20:$E20)</f>
        <v>3.0326571844644972E-2</v>
      </c>
      <c r="H20" s="33">
        <f>AVERAGE($C20:$E20)</f>
        <v>3.0326571844644972E-2</v>
      </c>
      <c r="I20" s="33">
        <f>AVERAGE($C20:$E20)</f>
        <v>3.0326571844644972E-2</v>
      </c>
      <c r="J20" s="33">
        <f>AVERAGE($C20:$E20)</f>
        <v>3.0326571844644972E-2</v>
      </c>
      <c r="K20" s="33">
        <f>AVERAGE($C20:$E20)</f>
        <v>3.0326571844644972E-2</v>
      </c>
    </row>
    <row r="21" spans="2:12" x14ac:dyDescent="0.35">
      <c r="B21" t="s">
        <v>51</v>
      </c>
      <c r="C21" s="15">
        <f>C13/C8</f>
        <v>9.965364221213982E-2</v>
      </c>
      <c r="D21" s="15">
        <f>D13/D8</f>
        <v>0.10285191163329044</v>
      </c>
      <c r="E21" s="51">
        <f>E13/E8</f>
        <v>0.1156040776907592</v>
      </c>
      <c r="F21" s="32">
        <v>0.12</v>
      </c>
      <c r="G21" s="34">
        <v>0.1225</v>
      </c>
      <c r="H21" s="34">
        <v>0.1225</v>
      </c>
      <c r="I21" s="34">
        <v>0.1225</v>
      </c>
      <c r="J21" s="34">
        <v>0.1225</v>
      </c>
      <c r="K21" s="34">
        <v>0.1225</v>
      </c>
    </row>
    <row r="22" spans="2:12" x14ac:dyDescent="0.35">
      <c r="E22" s="49"/>
    </row>
    <row r="23" spans="2:12" x14ac:dyDescent="0.35">
      <c r="B23" s="53"/>
      <c r="C23" s="53"/>
      <c r="D23" s="53"/>
      <c r="E23" s="54"/>
      <c r="F23" s="53"/>
      <c r="G23" s="53"/>
      <c r="H23" s="53"/>
      <c r="I23" s="53"/>
      <c r="J23" s="53"/>
      <c r="K23" s="53"/>
      <c r="L23" s="53"/>
    </row>
    <row r="26" spans="2:12" x14ac:dyDescent="0.35">
      <c r="C26" s="97">
        <f>IS!C14/IS!C9</f>
        <v>0.73802720984658965</v>
      </c>
      <c r="D26" s="97">
        <f>IS!D14/IS!D9</f>
        <v>0.73462242229620833</v>
      </c>
      <c r="E26" s="97">
        <f>IS!E14/IS!E9</f>
        <v>0.71391567006135082</v>
      </c>
      <c r="F26" s="98">
        <v>0.71399999999999997</v>
      </c>
      <c r="G26" s="98">
        <v>0.71399999999999997</v>
      </c>
      <c r="H26" s="98">
        <v>0.71399999999999997</v>
      </c>
      <c r="I26" s="98">
        <v>0.71399999999999997</v>
      </c>
      <c r="J26" s="98">
        <v>0.71399999999999997</v>
      </c>
      <c r="K26" s="98">
        <v>0.71399999999999997</v>
      </c>
    </row>
    <row r="27" spans="2:12" x14ac:dyDescent="0.35">
      <c r="C27" s="97">
        <f>IS!C15/IS!C9</f>
        <v>1.0884469249139161E-2</v>
      </c>
      <c r="D27" s="97">
        <f>IS!D15/IS!D9</f>
        <v>6.2069719772959286E-3</v>
      </c>
      <c r="E27" s="97">
        <f>IS!E15/IS!E9</f>
        <v>1.0835521130437568E-2</v>
      </c>
      <c r="F27" s="98">
        <f>0.9%</f>
        <v>9.0000000000000011E-3</v>
      </c>
      <c r="G27" s="98">
        <f t="shared" ref="G27:K27" si="1">AVERAGE(D27:F27)</f>
        <v>8.6808310359111646E-3</v>
      </c>
      <c r="H27" s="98">
        <f t="shared" si="1"/>
        <v>9.5054507221162456E-3</v>
      </c>
      <c r="I27" s="98">
        <f t="shared" si="1"/>
        <v>9.0620939193424704E-3</v>
      </c>
      <c r="J27" s="98">
        <f t="shared" si="1"/>
        <v>9.0827918924566275E-3</v>
      </c>
      <c r="K27" s="98">
        <f t="shared" si="1"/>
        <v>9.2167788446384496E-3</v>
      </c>
    </row>
    <row r="28" spans="2:12" x14ac:dyDescent="0.35">
      <c r="C28" s="97">
        <f>IS!C16/IS!C9</f>
        <v>-2.240530958131631E-3</v>
      </c>
      <c r="D28" s="97">
        <f>IS!D16/IS!D9</f>
        <v>-1.9830426752003825E-3</v>
      </c>
      <c r="E28" s="97">
        <f>IS!E16/IS!E9</f>
        <v>-2.5614915798860714E-3</v>
      </c>
      <c r="F28" s="97">
        <f>-0.2%</f>
        <v>-2E-3</v>
      </c>
      <c r="G28" s="97">
        <f t="shared" ref="G28:K28" si="2">-0.2%</f>
        <v>-2E-3</v>
      </c>
      <c r="H28" s="97">
        <f t="shared" si="2"/>
        <v>-2E-3</v>
      </c>
      <c r="I28" s="97">
        <f t="shared" si="2"/>
        <v>-2E-3</v>
      </c>
      <c r="J28" s="97">
        <f t="shared" si="2"/>
        <v>-2E-3</v>
      </c>
      <c r="K28" s="97">
        <f t="shared" si="2"/>
        <v>-2E-3</v>
      </c>
    </row>
    <row r="29" spans="2:12" x14ac:dyDescent="0.35">
      <c r="C29" s="97">
        <f>IS!C21/IS!C9</f>
        <v>-7.8308564197071074E-4</v>
      </c>
      <c r="D29" s="97">
        <f>IS!D21/IS!D9</f>
        <v>-7.7393283429275008E-4</v>
      </c>
      <c r="E29" s="97">
        <f>IS!E21/IS!E9</f>
        <v>-5.9905000641106347E-4</v>
      </c>
      <c r="F29" s="97">
        <f>-0.1%</f>
        <v>-1E-3</v>
      </c>
      <c r="G29" s="97">
        <f t="shared" ref="G29:K29" si="3">-0.1%</f>
        <v>-1E-3</v>
      </c>
      <c r="H29" s="97">
        <f t="shared" si="3"/>
        <v>-1E-3</v>
      </c>
      <c r="I29" s="97">
        <f t="shared" si="3"/>
        <v>-1E-3</v>
      </c>
      <c r="J29" s="97">
        <f t="shared" si="3"/>
        <v>-1E-3</v>
      </c>
      <c r="K29" s="97">
        <f t="shared" si="3"/>
        <v>-1E-3</v>
      </c>
    </row>
  </sheetData>
  <sheetProtection algorithmName="SHA-512" hashValue="I4nX3w6csw4xZU2kFwAeoA0jdaWwb51qlVb1/epoxIg7MfwSfG0h5d9Uz8pu/Rwn05IOBFN7N8M+3KMgh6HWiQ==" saltValue="IWHiuGn3O1p/ebNG428Gig==" spinCount="100000" sheet="1" objects="1" scenarios="1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CECA-11F2-47EA-B25C-3498FD6973F5}">
  <dimension ref="A1:N40"/>
  <sheetViews>
    <sheetView workbookViewId="0">
      <pane ySplit="6" topLeftCell="A7" activePane="bottomLeft" state="frozen"/>
      <selection activeCell="B12" sqref="B12"/>
      <selection pane="bottomLeft" activeCell="B14" sqref="B14"/>
    </sheetView>
  </sheetViews>
  <sheetFormatPr defaultColWidth="0" defaultRowHeight="14.5" x14ac:dyDescent="0.35"/>
  <cols>
    <col min="1" max="1" width="1.81640625" customWidth="1"/>
    <col min="2" max="2" width="34.6328125" customWidth="1"/>
    <col min="3" max="11" width="8.7265625" customWidth="1"/>
    <col min="12" max="12" width="2.3632812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47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47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47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7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48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x14ac:dyDescent="0.35">
      <c r="E7" s="49"/>
    </row>
    <row r="8" spans="1:12" x14ac:dyDescent="0.35">
      <c r="B8" t="s">
        <v>30</v>
      </c>
      <c r="E8" s="49"/>
      <c r="F8" s="2">
        <f>'Revised IS'!F25</f>
        <v>59216.773870519493</v>
      </c>
      <c r="G8" s="2">
        <f>'Revised IS'!G25</f>
        <v>61228.584693912999</v>
      </c>
      <c r="H8" s="2">
        <f>'Revised IS'!H25</f>
        <v>65726.051973794412</v>
      </c>
      <c r="I8" s="2">
        <f>'Revised IS'!I25</f>
        <v>71386.148771935768</v>
      </c>
      <c r="J8" s="2">
        <f>'Revised IS'!J25</f>
        <v>76514.588592716464</v>
      </c>
      <c r="K8" s="2">
        <f>'Revised IS'!K25</f>
        <v>82063.66592278365</v>
      </c>
    </row>
    <row r="9" spans="1:12" x14ac:dyDescent="0.35">
      <c r="B9" t="s">
        <v>24</v>
      </c>
      <c r="E9" s="49"/>
      <c r="F9" s="2">
        <f>'Revised IS'!F16</f>
        <v>23969.297888427456</v>
      </c>
      <c r="G9" s="2">
        <f>'Revised IS'!G16</f>
        <v>27261.177182364263</v>
      </c>
      <c r="H9" s="2">
        <f>'Revised IS'!H16</f>
        <v>29554.263924144121</v>
      </c>
      <c r="I9" s="2">
        <f>'Revised IS'!I16</f>
        <v>30726.982322551998</v>
      </c>
      <c r="J9" s="2">
        <f>'Revised IS'!J16</f>
        <v>33337.990320768746</v>
      </c>
      <c r="K9" s="2">
        <f>'Revised IS'!K16</f>
        <v>36159.141950138757</v>
      </c>
    </row>
    <row r="10" spans="1:12" x14ac:dyDescent="0.35">
      <c r="B10" t="s">
        <v>137</v>
      </c>
      <c r="E10" s="49"/>
      <c r="F10">
        <f>0</f>
        <v>0</v>
      </c>
      <c r="G10">
        <f>0</f>
        <v>0</v>
      </c>
      <c r="H10">
        <f>0</f>
        <v>0</v>
      </c>
      <c r="I10">
        <f>0</f>
        <v>0</v>
      </c>
      <c r="J10">
        <f>0</f>
        <v>0</v>
      </c>
      <c r="K10">
        <f>0</f>
        <v>0</v>
      </c>
    </row>
    <row r="11" spans="1:12" x14ac:dyDescent="0.35">
      <c r="B11" t="s">
        <v>138</v>
      </c>
      <c r="E11" s="49"/>
    </row>
    <row r="12" spans="1:12" x14ac:dyDescent="0.35">
      <c r="B12" s="20" t="s">
        <v>65</v>
      </c>
      <c r="E12" s="49"/>
      <c r="F12" s="2">
        <f>-(BS!F23-BS!E23)</f>
        <v>-2977.7730692748883</v>
      </c>
      <c r="G12" s="2">
        <f>-(BS!G23-BS!F23)</f>
        <v>-2970.5956947543309</v>
      </c>
      <c r="H12" s="2">
        <f>-(BS!H23-BS!G23)</f>
        <v>-3212.9963034462562</v>
      </c>
      <c r="I12" s="2">
        <f>-(BS!I23-BS!H23)</f>
        <v>-3475.1768018074945</v>
      </c>
      <c r="J12" s="2">
        <f>-(BS!J23-BS!I23)</f>
        <v>-3758.7512288349608</v>
      </c>
      <c r="K12" s="2">
        <f>-(BS!K23-BS!J23)</f>
        <v>-4065.465329107923</v>
      </c>
    </row>
    <row r="13" spans="1:12" x14ac:dyDescent="0.35">
      <c r="B13" s="20" t="s">
        <v>139</v>
      </c>
      <c r="E13" s="49"/>
      <c r="F13" s="2">
        <f>-(BS!F25-BS!E25)</f>
        <v>-6199.2196723569905</v>
      </c>
      <c r="G13" s="2">
        <f>-(BS!G25-BS!F25)</f>
        <v>-2414.46022319244</v>
      </c>
      <c r="H13" s="2">
        <f>-(BS!H25-BS!G25)</f>
        <v>-2611.4801774049301</v>
      </c>
      <c r="I13" s="2">
        <f>-(BS!I25-BS!H25)</f>
        <v>-2824.5769598811821</v>
      </c>
      <c r="J13" s="2">
        <f>-(BS!J25-BS!I25)</f>
        <v>-3055.0624398074724</v>
      </c>
      <c r="K13" s="2">
        <f>-(BS!K25-BS!J25)</f>
        <v>-3304.3555348957816</v>
      </c>
    </row>
    <row r="14" spans="1:12" x14ac:dyDescent="0.35">
      <c r="B14" s="20" t="s">
        <v>140</v>
      </c>
      <c r="E14" s="49"/>
      <c r="F14" s="2">
        <f>-(SUM(BS!F27:F30)-SUM(BS!E27:E30))</f>
        <v>0</v>
      </c>
      <c r="G14" s="2">
        <f>-(SUM(BS!G27:G30)-SUM(BS!F27:F30))</f>
        <v>0</v>
      </c>
      <c r="H14" s="2">
        <f>-(SUM(BS!H27:H30)-SUM(BS!G27:G30))</f>
        <v>0</v>
      </c>
      <c r="I14" s="2">
        <f>-(SUM(BS!I27:I30)-SUM(BS!H27:H30))</f>
        <v>0</v>
      </c>
      <c r="J14" s="2">
        <f>-(SUM(BS!J27:J30)-SUM(BS!I27:I30))</f>
        <v>0</v>
      </c>
      <c r="K14" s="2">
        <f>-(SUM(BS!K27:K30)-SUM(BS!J27:J30))</f>
        <v>0</v>
      </c>
    </row>
    <row r="15" spans="1:12" x14ac:dyDescent="0.35">
      <c r="B15" t="s">
        <v>138</v>
      </c>
      <c r="E15" s="49"/>
    </row>
    <row r="16" spans="1:12" x14ac:dyDescent="0.35">
      <c r="B16" s="20" t="s">
        <v>141</v>
      </c>
      <c r="E16" s="49"/>
      <c r="F16" s="2">
        <f>SUM(BS!F58:F59)-SUM(BS!E58:E59)</f>
        <v>10062.125841858069</v>
      </c>
      <c r="G16" s="2">
        <f>SUM(BS!G58:G59)-SUM(BS!F58:F59)</f>
        <v>6493.3651117251284</v>
      </c>
      <c r="H16" s="2">
        <f>SUM(BS!H58:H59)-SUM(BS!G58:G59)</f>
        <v>7023.223704841861</v>
      </c>
      <c r="I16" s="2">
        <f>SUM(BS!I58:I59)-SUM(BS!H58:H59)</f>
        <v>7596.3187591569877</v>
      </c>
      <c r="J16" s="2">
        <f>SUM(BS!J58:J59)-SUM(BS!I58:I59)</f>
        <v>8216.1783699041553</v>
      </c>
      <c r="K16" s="2">
        <f>SUM(BS!K58:K59)-SUM(BS!J58:J59)</f>
        <v>8886.6185248883849</v>
      </c>
    </row>
    <row r="17" spans="2:11" x14ac:dyDescent="0.35">
      <c r="B17" s="20" t="s">
        <v>140</v>
      </c>
      <c r="E17" s="49"/>
      <c r="F17" s="2">
        <f>SUM(BS!F60:F63)-SUM(BS!E60:E63)</f>
        <v>0</v>
      </c>
      <c r="G17" s="2">
        <f>SUM(BS!G60:G63)-SUM(BS!F60:F63)</f>
        <v>0</v>
      </c>
      <c r="H17" s="2">
        <f>SUM(BS!H60:H63)-SUM(BS!G60:G63)</f>
        <v>0</v>
      </c>
      <c r="I17" s="2">
        <f>SUM(BS!I60:I63)-SUM(BS!H60:H63)</f>
        <v>0</v>
      </c>
      <c r="J17" s="2">
        <f>SUM(BS!J60:J63)-SUM(BS!I60:I63)</f>
        <v>0</v>
      </c>
      <c r="K17" s="2">
        <f>SUM(BS!K60:K63)-SUM(BS!J60:J63)</f>
        <v>0</v>
      </c>
    </row>
    <row r="18" spans="2:11" ht="15" thickBot="1" x14ac:dyDescent="0.4">
      <c r="E18" s="49"/>
    </row>
    <row r="19" spans="2:11" ht="15" thickBot="1" x14ac:dyDescent="0.4">
      <c r="B19" s="27" t="s">
        <v>142</v>
      </c>
      <c r="C19" s="27"/>
      <c r="D19" s="27"/>
      <c r="E19" s="67"/>
      <c r="F19" s="43">
        <f>SUM(F8:F17)</f>
        <v>84071.204859173144</v>
      </c>
      <c r="G19" s="43">
        <f t="shared" ref="G19:K19" si="1">SUM(G8:G17)</f>
        <v>89598.071070055623</v>
      </c>
      <c r="H19" s="43">
        <f t="shared" si="1"/>
        <v>96479.063121929212</v>
      </c>
      <c r="I19" s="43">
        <f t="shared" si="1"/>
        <v>103409.69609195607</v>
      </c>
      <c r="J19" s="43">
        <f t="shared" si="1"/>
        <v>111254.94361474694</v>
      </c>
      <c r="K19" s="43">
        <f t="shared" si="1"/>
        <v>119739.60553380707</v>
      </c>
    </row>
    <row r="20" spans="2:11" ht="15" thickTop="1" x14ac:dyDescent="0.35">
      <c r="E20" s="49"/>
    </row>
    <row r="21" spans="2:11" x14ac:dyDescent="0.35">
      <c r="B21" t="s">
        <v>143</v>
      </c>
      <c r="E21" s="49"/>
      <c r="F21" s="2">
        <f>-'BS shcedule'!F14</f>
        <v>-22767.635453534331</v>
      </c>
      <c r="G21" s="2">
        <f>-'BS shcedule'!G14</f>
        <v>-24594.512445313056</v>
      </c>
      <c r="H21" s="2">
        <f>-'BS shcedule'!H14</f>
        <v>-26570.462599620911</v>
      </c>
      <c r="I21" s="2">
        <f>-'BS shcedule'!I14</f>
        <v>-28707.650286520293</v>
      </c>
      <c r="J21" s="2">
        <f>-'BS shcedule'!J14</f>
        <v>-31019.232488670663</v>
      </c>
      <c r="K21" s="2">
        <f>-'BS shcedule'!K14</f>
        <v>-33519.439798516512</v>
      </c>
    </row>
    <row r="22" spans="2:11" x14ac:dyDescent="0.35">
      <c r="B22" t="s">
        <v>144</v>
      </c>
      <c r="E22" s="49"/>
      <c r="F22" s="2">
        <f>-'BS shcedule'!F36</f>
        <v>-760.81023841153353</v>
      </c>
      <c r="G22" s="2">
        <f>-'BS shcedule'!G36</f>
        <v>-821.85771620079845</v>
      </c>
      <c r="H22" s="2">
        <f>-'BS shcedule'!H36</f>
        <v>-887.88666817766693</v>
      </c>
      <c r="I22" s="2">
        <f>-'BS shcedule'!I36</f>
        <v>0</v>
      </c>
      <c r="J22" s="2">
        <f>-'BS shcedule'!J36</f>
        <v>0</v>
      </c>
      <c r="K22" s="2">
        <f>-'BS shcedule'!K36</f>
        <v>0</v>
      </c>
    </row>
    <row r="23" spans="2:11" x14ac:dyDescent="0.35">
      <c r="B23" t="s">
        <v>145</v>
      </c>
      <c r="E23" s="49"/>
      <c r="F23" s="2">
        <f>-'BS shcedule'!F51</f>
        <v>-2092.2212840442821</v>
      </c>
      <c r="G23" s="2">
        <f>-'BS shcedule'!G51</f>
        <v>-2260.1012965880045</v>
      </c>
      <c r="H23" s="2">
        <f>-'BS shcedule'!H51</f>
        <v>-2441.6803181552932</v>
      </c>
      <c r="I23" s="2">
        <f>-'BS shcedule'!I51</f>
        <v>-2638.0761878824737</v>
      </c>
      <c r="J23" s="2">
        <f>-'BS shcedule'!J51</f>
        <v>-2850.4979605793915</v>
      </c>
      <c r="K23" s="2">
        <f>-'BS shcedule'!K51</f>
        <v>-3080.2533499283782</v>
      </c>
    </row>
    <row r="24" spans="2:11" ht="15" thickBot="1" x14ac:dyDescent="0.4">
      <c r="E24" s="49"/>
    </row>
    <row r="25" spans="2:11" ht="15" thickBot="1" x14ac:dyDescent="0.4">
      <c r="B25" s="27" t="s">
        <v>146</v>
      </c>
      <c r="C25" s="27"/>
      <c r="D25" s="27"/>
      <c r="E25" s="67"/>
      <c r="F25" s="43">
        <f>SUM(F21:F23)</f>
        <v>-25620.666975990145</v>
      </c>
      <c r="G25" s="43">
        <f t="shared" ref="G25:K25" si="2">SUM(G21:G23)</f>
        <v>-27676.471458101856</v>
      </c>
      <c r="H25" s="43">
        <f t="shared" si="2"/>
        <v>-29900.029585953871</v>
      </c>
      <c r="I25" s="43">
        <f t="shared" si="2"/>
        <v>-31345.726474402767</v>
      </c>
      <c r="J25" s="43">
        <f t="shared" si="2"/>
        <v>-33869.730449250055</v>
      </c>
      <c r="K25" s="43">
        <f t="shared" si="2"/>
        <v>-36599.693148444887</v>
      </c>
    </row>
    <row r="26" spans="2:11" ht="15" thickTop="1" x14ac:dyDescent="0.35">
      <c r="E26" s="49"/>
    </row>
    <row r="27" spans="2:11" x14ac:dyDescent="0.35">
      <c r="B27" t="s">
        <v>31</v>
      </c>
      <c r="E27" s="49"/>
      <c r="F27" s="2">
        <f>-'Revised IS'!F26</f>
        <v>-17914.872212140657</v>
      </c>
      <c r="G27" s="2">
        <f>-'Revised IS'!G26</f>
        <v>-18523.506074817848</v>
      </c>
      <c r="H27" s="2">
        <f>-'Revised IS'!H26</f>
        <v>-19884.126492497697</v>
      </c>
      <c r="I27" s="2">
        <f>-'Revised IS'!I26</f>
        <v>-21596.477642676276</v>
      </c>
      <c r="J27" s="2">
        <f>-'Revised IS'!J26</f>
        <v>-23147.986413448383</v>
      </c>
      <c r="K27" s="2">
        <f>-'Revised IS'!K26</f>
        <v>-24826.75080343031</v>
      </c>
    </row>
    <row r="28" spans="2:11" x14ac:dyDescent="0.35">
      <c r="B28" t="s">
        <v>147</v>
      </c>
      <c r="E28" s="49"/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2:11" x14ac:dyDescent="0.35">
      <c r="B29" t="s">
        <v>148</v>
      </c>
      <c r="E29" s="49"/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2:11" x14ac:dyDescent="0.35">
      <c r="B30" t="s">
        <v>149</v>
      </c>
      <c r="E30" s="49"/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2:11" x14ac:dyDescent="0.35">
      <c r="B31" t="s">
        <v>150</v>
      </c>
      <c r="E31" s="49"/>
      <c r="F31" s="11">
        <f>Debt!F22-Debt!E22</f>
        <v>-2558.37</v>
      </c>
      <c r="G31" s="11">
        <f>Debt!G22-Debt!F22</f>
        <v>-5359.88</v>
      </c>
      <c r="H31" s="11">
        <f>Debt!H22-Debt!G22</f>
        <v>0</v>
      </c>
      <c r="I31" s="11">
        <f>Debt!I22-Debt!H22</f>
        <v>0</v>
      </c>
      <c r="J31" s="11">
        <f>Debt!J22-Debt!I22</f>
        <v>0</v>
      </c>
      <c r="K31" s="11">
        <f>Debt!K22-Debt!J22</f>
        <v>0</v>
      </c>
    </row>
    <row r="32" spans="2:11" ht="15" thickBot="1" x14ac:dyDescent="0.4">
      <c r="E32" s="49"/>
    </row>
    <row r="33" spans="2:12" ht="15" thickBot="1" x14ac:dyDescent="0.4">
      <c r="B33" s="27" t="s">
        <v>151</v>
      </c>
      <c r="C33" s="27"/>
      <c r="D33" s="27"/>
      <c r="E33" s="67"/>
      <c r="F33" s="43">
        <f>SUM(F27:F31)</f>
        <v>-20473.242212140656</v>
      </c>
      <c r="G33" s="43">
        <f t="shared" ref="G33:K33" si="3">SUM(G27:G31)</f>
        <v>-23883.386074817849</v>
      </c>
      <c r="H33" s="43">
        <f t="shared" si="3"/>
        <v>-19884.126492497697</v>
      </c>
      <c r="I33" s="43">
        <f t="shared" si="3"/>
        <v>-21596.477642676276</v>
      </c>
      <c r="J33" s="43">
        <f t="shared" si="3"/>
        <v>-23147.986413448383</v>
      </c>
      <c r="K33" s="43">
        <f t="shared" si="3"/>
        <v>-24826.75080343031</v>
      </c>
    </row>
    <row r="34" spans="2:12" ht="15" thickTop="1" x14ac:dyDescent="0.35">
      <c r="E34" s="49"/>
    </row>
    <row r="35" spans="2:12" x14ac:dyDescent="0.35">
      <c r="B35" t="s">
        <v>161</v>
      </c>
      <c r="E35" s="49"/>
      <c r="F35" s="2">
        <f>SUM(F19,F25,F33)</f>
        <v>37977.295671042346</v>
      </c>
      <c r="G35" s="2">
        <f t="shared" ref="G35:K35" si="4">SUM(G19,G25,G33)</f>
        <v>38038.213537135918</v>
      </c>
      <c r="H35" s="2">
        <f t="shared" si="4"/>
        <v>46694.907043477637</v>
      </c>
      <c r="I35" s="2">
        <f t="shared" si="4"/>
        <v>50467.491974877026</v>
      </c>
      <c r="J35" s="2">
        <f t="shared" si="4"/>
        <v>54237.226752048504</v>
      </c>
      <c r="K35" s="2">
        <f t="shared" si="4"/>
        <v>58313.161581931876</v>
      </c>
    </row>
    <row r="36" spans="2:12" x14ac:dyDescent="0.35">
      <c r="B36" t="s">
        <v>162</v>
      </c>
      <c r="E36" s="49"/>
      <c r="F36" s="2">
        <f>BS!E26</f>
        <v>48457.17</v>
      </c>
      <c r="G36" s="2">
        <f>BS!F26</f>
        <v>86434.465671042344</v>
      </c>
      <c r="H36" s="2">
        <f>BS!G26</f>
        <v>124472.67920817826</v>
      </c>
      <c r="I36" s="2">
        <f>BS!H26</f>
        <v>171167.58625165588</v>
      </c>
      <c r="J36" s="2">
        <f>BS!I26</f>
        <v>221635.0782265329</v>
      </c>
      <c r="K36" s="2">
        <f>BS!J26</f>
        <v>275872.30497858138</v>
      </c>
    </row>
    <row r="37" spans="2:12" ht="15" thickBot="1" x14ac:dyDescent="0.4">
      <c r="E37" s="49"/>
    </row>
    <row r="38" spans="2:12" ht="15" thickBot="1" x14ac:dyDescent="0.4">
      <c r="B38" s="27" t="s">
        <v>163</v>
      </c>
      <c r="C38" s="27"/>
      <c r="D38" s="27"/>
      <c r="E38" s="67"/>
      <c r="F38" s="43">
        <f>SUM(F35:F36)</f>
        <v>86434.465671042344</v>
      </c>
      <c r="G38" s="43">
        <f t="shared" ref="G38:K38" si="5">SUM(G35:G36)</f>
        <v>124472.67920817826</v>
      </c>
      <c r="H38" s="43">
        <f t="shared" si="5"/>
        <v>171167.58625165588</v>
      </c>
      <c r="I38" s="43">
        <f t="shared" si="5"/>
        <v>221635.0782265329</v>
      </c>
      <c r="J38" s="43">
        <f t="shared" si="5"/>
        <v>275872.30497858138</v>
      </c>
      <c r="K38" s="43">
        <f t="shared" si="5"/>
        <v>334185.46656051325</v>
      </c>
    </row>
    <row r="39" spans="2:12" ht="15" thickTop="1" x14ac:dyDescent="0.35">
      <c r="E39" s="49"/>
    </row>
    <row r="40" spans="2:12" x14ac:dyDescent="0.35">
      <c r="B40" s="53"/>
      <c r="C40" s="53"/>
      <c r="D40" s="53"/>
      <c r="E40" s="54"/>
      <c r="F40" s="53"/>
      <c r="G40" s="53"/>
      <c r="H40" s="53"/>
      <c r="I40" s="53"/>
      <c r="J40" s="53"/>
      <c r="K40" s="53"/>
      <c r="L40" s="53"/>
    </row>
  </sheetData>
  <sheetProtection algorithmName="SHA-512" hashValue="SsVphs4UMzONaZA3h2+2nf+sNZN9DRXBXXNE1PX20DAxImySUbaKpvTJQnfpdj7ly/63fl7Z7okpcjLcdQrAXA==" saltValue="t8CfeXmfdOpea+bEejsmZw==" spinCount="100000" sheet="1" objects="1" scenarios="1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03A6-2F8F-4B00-B4B8-5BAB3E68B94F}">
  <dimension ref="A1:N37"/>
  <sheetViews>
    <sheetView workbookViewId="0">
      <pane xSplit="1" ySplit="6" topLeftCell="B7" activePane="bottomRight" state="frozen"/>
      <selection pane="topRight" activeCell="B1" sqref="B1"/>
      <selection pane="bottomLeft" activeCell="A4" sqref="A4"/>
      <selection pane="bottomRight" activeCell="B10" sqref="B10"/>
    </sheetView>
  </sheetViews>
  <sheetFormatPr defaultColWidth="0" defaultRowHeight="14.5" x14ac:dyDescent="0.35"/>
  <cols>
    <col min="1" max="1" width="1.81640625" customWidth="1"/>
    <col min="2" max="2" width="34.6328125" customWidth="1"/>
    <col min="3" max="12" width="9.632812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47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47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47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7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48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x14ac:dyDescent="0.35">
      <c r="E7" s="49"/>
      <c r="G7" s="1"/>
    </row>
    <row r="8" spans="1:12" x14ac:dyDescent="0.35">
      <c r="B8" t="s">
        <v>1</v>
      </c>
      <c r="C8" s="6">
        <f>IS!C9</f>
        <v>603075.80000000005</v>
      </c>
      <c r="D8" s="6">
        <f>IS!D9</f>
        <v>698290.57</v>
      </c>
      <c r="E8" s="66">
        <f>IS!E9</f>
        <v>691928.88</v>
      </c>
      <c r="F8" s="2">
        <f>IS!F9</f>
        <v>738960.49239869067</v>
      </c>
      <c r="G8" s="2">
        <f>IS!G9</f>
        <v>798254.74472242419</v>
      </c>
      <c r="H8" s="2">
        <f>IS!H9</f>
        <v>862387.4080357739</v>
      </c>
      <c r="I8" s="2">
        <f>IS!I9</f>
        <v>931753.29667549324</v>
      </c>
      <c r="J8" s="2">
        <f>IS!J9</f>
        <v>1006779.4418282135</v>
      </c>
      <c r="K8" s="2">
        <f>IS!K9</f>
        <v>1087927.720425396</v>
      </c>
    </row>
    <row r="9" spans="1:12" x14ac:dyDescent="0.35">
      <c r="B9" t="s">
        <v>19</v>
      </c>
      <c r="C9" s="6">
        <f>SUM(IS!C14:C16,IS!C21)</f>
        <v>449827.03999999992</v>
      </c>
      <c r="D9" s="6">
        <f>SUM(IS!D14:D16,IS!D21)</f>
        <v>515389.01</v>
      </c>
      <c r="E9" s="66">
        <f>SUM(IS!E14:E16,IS!E21)</f>
        <v>499289.41</v>
      </c>
      <c r="F9" s="2">
        <f>Expense!F11</f>
        <v>532051.55452705722</v>
      </c>
      <c r="G9" s="2">
        <f>Expense!G11</f>
        <v>574743.41620014538</v>
      </c>
      <c r="H9" s="2">
        <f>Expense!H11</f>
        <v>620918.93378575717</v>
      </c>
      <c r="I9" s="2">
        <f>Expense!I11</f>
        <v>670862.37360635516</v>
      </c>
      <c r="J9" s="2">
        <f>Expense!J11</f>
        <v>724881.19811631367</v>
      </c>
      <c r="K9" s="2">
        <f>Expense!K11</f>
        <v>783307.95870628511</v>
      </c>
    </row>
    <row r="10" spans="1:12" x14ac:dyDescent="0.35">
      <c r="C10" s="7"/>
      <c r="D10" s="7"/>
      <c r="E10" s="69"/>
    </row>
    <row r="11" spans="1:12" x14ac:dyDescent="0.35">
      <c r="B11" t="s">
        <v>20</v>
      </c>
      <c r="C11" s="6">
        <f t="shared" ref="C11:K11" si="1">C8-C9</f>
        <v>153248.76000000013</v>
      </c>
      <c r="D11" s="6">
        <f t="shared" si="1"/>
        <v>182901.55999999994</v>
      </c>
      <c r="E11" s="66">
        <f t="shared" si="1"/>
        <v>192639.47000000003</v>
      </c>
      <c r="F11" s="2">
        <f t="shared" si="1"/>
        <v>206908.93787163345</v>
      </c>
      <c r="G11" s="2">
        <f t="shared" si="1"/>
        <v>223511.32852227881</v>
      </c>
      <c r="H11" s="2">
        <f t="shared" si="1"/>
        <v>241468.47425001673</v>
      </c>
      <c r="I11" s="2">
        <f t="shared" si="1"/>
        <v>260890.92306913808</v>
      </c>
      <c r="J11" s="2">
        <f t="shared" si="1"/>
        <v>281898.24371189985</v>
      </c>
      <c r="K11" s="2">
        <f t="shared" si="1"/>
        <v>304619.76171911089</v>
      </c>
    </row>
    <row r="12" spans="1:12" x14ac:dyDescent="0.35">
      <c r="B12" t="s">
        <v>21</v>
      </c>
      <c r="C12" s="6">
        <f>IS!C17</f>
        <v>17662.259999999998</v>
      </c>
      <c r="D12" s="6">
        <f>IS!D17</f>
        <v>19754.88</v>
      </c>
      <c r="E12" s="66">
        <f>IS!E17</f>
        <v>23112.09</v>
      </c>
      <c r="F12" s="2">
        <f>Expense!F12</f>
        <v>22410.138463083116</v>
      </c>
      <c r="G12" s="2">
        <f>Expense!G12</f>
        <v>24208.32986615333</v>
      </c>
      <c r="H12" s="2">
        <f>Expense!H12</f>
        <v>26153.253687714056</v>
      </c>
      <c r="I12" s="2">
        <f>Expense!I12</f>
        <v>28256.883293114148</v>
      </c>
      <c r="J12" s="2">
        <f>Expense!J12</f>
        <v>30532.169074314879</v>
      </c>
      <c r="K12" s="2">
        <f>Expense!K12</f>
        <v>32993.118175261603</v>
      </c>
    </row>
    <row r="13" spans="1:12" x14ac:dyDescent="0.35">
      <c r="B13" t="s">
        <v>22</v>
      </c>
      <c r="C13" s="6">
        <f>IS!C20</f>
        <v>60098.7</v>
      </c>
      <c r="D13" s="6">
        <f>IS!D20</f>
        <v>71820.52</v>
      </c>
      <c r="E13" s="66">
        <f>IS!E20</f>
        <v>79989.8</v>
      </c>
      <c r="F13" s="2">
        <f>Expense!F13</f>
        <v>88675.259087842875</v>
      </c>
      <c r="G13" s="2">
        <f>Expense!G13</f>
        <v>97786.206228496958</v>
      </c>
      <c r="H13" s="2">
        <f>Expense!H13</f>
        <v>105642.45748438231</v>
      </c>
      <c r="I13" s="2">
        <f>Expense!I13</f>
        <v>114139.77884274792</v>
      </c>
      <c r="J13" s="2">
        <f>Expense!J13</f>
        <v>123330.48162395615</v>
      </c>
      <c r="K13" s="2">
        <f>Expense!K13</f>
        <v>133271.14575211101</v>
      </c>
    </row>
    <row r="14" spans="1:12" x14ac:dyDescent="0.35">
      <c r="C14" s="7"/>
      <c r="D14" s="7"/>
      <c r="E14" s="69"/>
    </row>
    <row r="15" spans="1:12" x14ac:dyDescent="0.35">
      <c r="B15" t="s">
        <v>23</v>
      </c>
      <c r="C15" s="6">
        <f t="shared" ref="C15:K15" si="2">(C11-SUM(C12:C13))</f>
        <v>75487.800000000134</v>
      </c>
      <c r="D15" s="6">
        <f t="shared" si="2"/>
        <v>91326.159999999931</v>
      </c>
      <c r="E15" s="66">
        <f t="shared" si="2"/>
        <v>89537.580000000031</v>
      </c>
      <c r="F15" s="2">
        <f t="shared" si="2"/>
        <v>95823.540320707456</v>
      </c>
      <c r="G15" s="2">
        <f t="shared" si="2"/>
        <v>101516.79242762852</v>
      </c>
      <c r="H15" s="2">
        <f t="shared" si="2"/>
        <v>109672.76307792036</v>
      </c>
      <c r="I15" s="2">
        <f t="shared" si="2"/>
        <v>118494.260933276</v>
      </c>
      <c r="J15" s="2">
        <f t="shared" si="2"/>
        <v>128035.59301362882</v>
      </c>
      <c r="K15" s="2">
        <f t="shared" si="2"/>
        <v>138355.49779173828</v>
      </c>
    </row>
    <row r="16" spans="1:12" x14ac:dyDescent="0.35">
      <c r="B16" t="s">
        <v>24</v>
      </c>
      <c r="C16" s="6">
        <f>IS!C19</f>
        <v>21898.66</v>
      </c>
      <c r="D16" s="6">
        <f>IS!D19</f>
        <v>22079.31</v>
      </c>
      <c r="E16" s="66">
        <f>IS!E19</f>
        <v>21052.58</v>
      </c>
      <c r="F16" s="2">
        <f>'BS shcedule'!F66</f>
        <v>23969.297888427456</v>
      </c>
      <c r="G16" s="2">
        <f>'BS shcedule'!G66</f>
        <v>27261.177182364263</v>
      </c>
      <c r="H16" s="2">
        <f>'BS shcedule'!H66</f>
        <v>29554.263924144121</v>
      </c>
      <c r="I16" s="2">
        <f>'BS shcedule'!I66</f>
        <v>30726.982322551998</v>
      </c>
      <c r="J16" s="2">
        <f>'BS shcedule'!J66</f>
        <v>33337.990320768746</v>
      </c>
      <c r="K16" s="2">
        <f>'BS shcedule'!K66</f>
        <v>36159.141950138757</v>
      </c>
    </row>
    <row r="17" spans="2:12" x14ac:dyDescent="0.35">
      <c r="C17" s="7"/>
      <c r="D17" s="7"/>
      <c r="E17" s="69"/>
    </row>
    <row r="18" spans="2:12" x14ac:dyDescent="0.35">
      <c r="B18" t="s">
        <v>25</v>
      </c>
      <c r="C18" s="6">
        <f t="shared" ref="C18:K18" si="3">C15-C16</f>
        <v>53589.14000000013</v>
      </c>
      <c r="D18" s="6">
        <f t="shared" si="3"/>
        <v>69246.849999999933</v>
      </c>
      <c r="E18" s="66">
        <f t="shared" si="3"/>
        <v>68485.000000000029</v>
      </c>
      <c r="F18" s="2">
        <f t="shared" si="3"/>
        <v>71854.242432280007</v>
      </c>
      <c r="G18" s="2">
        <f t="shared" si="3"/>
        <v>74255.615245264256</v>
      </c>
      <c r="H18" s="2">
        <f t="shared" si="3"/>
        <v>80118.49915377624</v>
      </c>
      <c r="I18" s="2">
        <f t="shared" si="3"/>
        <v>87767.27861072401</v>
      </c>
      <c r="J18" s="2">
        <f t="shared" si="3"/>
        <v>94697.602692860077</v>
      </c>
      <c r="K18" s="2">
        <f t="shared" si="3"/>
        <v>102196.35584159952</v>
      </c>
    </row>
    <row r="19" spans="2:12" x14ac:dyDescent="0.35">
      <c r="B19" t="s">
        <v>26</v>
      </c>
      <c r="C19" s="6">
        <f>IS!C18</f>
        <v>1424.01</v>
      </c>
      <c r="D19" s="6">
        <f>IS!D18</f>
        <v>1580.79</v>
      </c>
      <c r="E19" s="66">
        <f>IS!E18</f>
        <v>1272</v>
      </c>
      <c r="F19" s="2">
        <f>Debt!F24</f>
        <v>532.0650396861015</v>
      </c>
      <c r="G19" s="2">
        <f>Debt!G24</f>
        <v>214.77457781425107</v>
      </c>
      <c r="H19" s="2">
        <f>Debt!H24</f>
        <v>0</v>
      </c>
      <c r="I19" s="2">
        <f>Debt!I24</f>
        <v>0</v>
      </c>
      <c r="J19" s="2">
        <f>Debt!J24</f>
        <v>0</v>
      </c>
      <c r="K19" s="2">
        <f>Debt!K24</f>
        <v>0</v>
      </c>
    </row>
    <row r="20" spans="2:12" x14ac:dyDescent="0.35">
      <c r="B20" t="s">
        <v>27</v>
      </c>
      <c r="C20" s="6">
        <f>IS!C10</f>
        <v>11290.62</v>
      </c>
      <c r="D20" s="6">
        <f>IS!D10</f>
        <v>14732.68</v>
      </c>
      <c r="E20" s="66">
        <f>IS!E10</f>
        <v>8700.49</v>
      </c>
      <c r="F20" s="6">
        <f>E20</f>
        <v>8700.49</v>
      </c>
      <c r="G20" s="6">
        <f t="shared" ref="G20:K20" si="4">F20</f>
        <v>8700.49</v>
      </c>
      <c r="H20" s="6">
        <f t="shared" si="4"/>
        <v>8700.49</v>
      </c>
      <c r="I20" s="6">
        <f t="shared" si="4"/>
        <v>8700.49</v>
      </c>
      <c r="J20" s="6">
        <f t="shared" si="4"/>
        <v>8700.49</v>
      </c>
      <c r="K20" s="6">
        <f t="shared" si="4"/>
        <v>8700.49</v>
      </c>
    </row>
    <row r="21" spans="2:12" x14ac:dyDescent="0.35">
      <c r="C21" s="7"/>
      <c r="D21" s="7"/>
      <c r="E21" s="69"/>
    </row>
    <row r="22" spans="2:12" x14ac:dyDescent="0.35">
      <c r="B22" t="s">
        <v>28</v>
      </c>
      <c r="C22" s="6">
        <f t="shared" ref="C22:K22" si="5">C18-C19+C20</f>
        <v>63455.750000000131</v>
      </c>
      <c r="D22" s="6">
        <f t="shared" si="5"/>
        <v>82398.739999999932</v>
      </c>
      <c r="E22" s="66">
        <f t="shared" si="5"/>
        <v>75913.490000000034</v>
      </c>
      <c r="F22" s="2">
        <f t="shared" si="5"/>
        <v>80022.66739259391</v>
      </c>
      <c r="G22" s="2">
        <f t="shared" si="5"/>
        <v>82741.330667450005</v>
      </c>
      <c r="H22" s="2">
        <f t="shared" si="5"/>
        <v>88818.989153776245</v>
      </c>
      <c r="I22" s="2">
        <f t="shared" si="5"/>
        <v>96467.768610724015</v>
      </c>
      <c r="J22" s="2">
        <f t="shared" si="5"/>
        <v>103398.09269286008</v>
      </c>
      <c r="K22" s="2">
        <f t="shared" si="5"/>
        <v>110896.84584159953</v>
      </c>
    </row>
    <row r="23" spans="2:12" x14ac:dyDescent="0.35">
      <c r="B23" t="s">
        <v>29</v>
      </c>
      <c r="C23" s="6">
        <f>IS!C27</f>
        <v>16363.249999999998</v>
      </c>
      <c r="D23" s="6">
        <f>IS!D27</f>
        <v>21798.3</v>
      </c>
      <c r="E23" s="66">
        <f>IS!E27</f>
        <v>19511.350000000002</v>
      </c>
      <c r="F23" s="2">
        <f>Expense!F14</f>
        <v>20805.893522074417</v>
      </c>
      <c r="G23" s="2">
        <f>Expense!G14</f>
        <v>21512.745973537003</v>
      </c>
      <c r="H23" s="2">
        <f>Expense!H14</f>
        <v>23092.937179981825</v>
      </c>
      <c r="I23" s="2">
        <f>Expense!I14</f>
        <v>25081.619838788243</v>
      </c>
      <c r="J23" s="2">
        <f>Expense!J14</f>
        <v>26883.504100143622</v>
      </c>
      <c r="K23" s="2">
        <f>Expense!K14</f>
        <v>28833.179918815877</v>
      </c>
    </row>
    <row r="24" spans="2:12" ht="15" thickBot="1" x14ac:dyDescent="0.4">
      <c r="C24" s="7"/>
      <c r="D24" s="7"/>
      <c r="E24" s="69"/>
    </row>
    <row r="25" spans="2:12" ht="15" thickBot="1" x14ac:dyDescent="0.4">
      <c r="B25" s="27" t="s">
        <v>30</v>
      </c>
      <c r="C25" s="86">
        <f t="shared" ref="C25:K25" si="6">C22-C23</f>
        <v>47092.500000000131</v>
      </c>
      <c r="D25" s="86">
        <f t="shared" si="6"/>
        <v>60600.43999999993</v>
      </c>
      <c r="E25" s="87">
        <f t="shared" si="6"/>
        <v>56402.140000000029</v>
      </c>
      <c r="F25" s="43">
        <f t="shared" si="6"/>
        <v>59216.773870519493</v>
      </c>
      <c r="G25" s="43">
        <f t="shared" si="6"/>
        <v>61228.584693912999</v>
      </c>
      <c r="H25" s="43">
        <f t="shared" si="6"/>
        <v>65726.051973794412</v>
      </c>
      <c r="I25" s="43">
        <f t="shared" si="6"/>
        <v>71386.148771935768</v>
      </c>
      <c r="J25" s="43">
        <f t="shared" si="6"/>
        <v>76514.588592716464</v>
      </c>
      <c r="K25" s="43">
        <f t="shared" si="6"/>
        <v>82063.66592278365</v>
      </c>
      <c r="L25" s="27"/>
    </row>
    <row r="26" spans="2:12" ht="15" thickTop="1" x14ac:dyDescent="0.35">
      <c r="B26" t="s">
        <v>31</v>
      </c>
      <c r="E26" s="49"/>
      <c r="F26" s="2">
        <f>F25*F36</f>
        <v>17914.872212140657</v>
      </c>
      <c r="G26" s="2">
        <f t="shared" ref="G26:K26" si="7">G25*G36</f>
        <v>18523.506074817848</v>
      </c>
      <c r="H26" s="2">
        <f t="shared" si="7"/>
        <v>19884.126492497697</v>
      </c>
      <c r="I26" s="2">
        <f t="shared" si="7"/>
        <v>21596.477642676276</v>
      </c>
      <c r="J26" s="2">
        <f t="shared" si="7"/>
        <v>23147.986413448383</v>
      </c>
      <c r="K26" s="2">
        <f t="shared" si="7"/>
        <v>24826.75080343031</v>
      </c>
    </row>
    <row r="27" spans="2:12" x14ac:dyDescent="0.35">
      <c r="E27" s="49"/>
    </row>
    <row r="28" spans="2:12" x14ac:dyDescent="0.35">
      <c r="B28" t="s">
        <v>32</v>
      </c>
      <c r="E28" s="49"/>
      <c r="F28" s="2">
        <f>F25-F26</f>
        <v>41301.901658378833</v>
      </c>
      <c r="G28" s="2">
        <f t="shared" ref="G28:K28" si="8">G25-G26</f>
        <v>42705.078619095148</v>
      </c>
      <c r="H28" s="2">
        <f t="shared" si="8"/>
        <v>45841.925481296712</v>
      </c>
      <c r="I28" s="2">
        <f t="shared" si="8"/>
        <v>49789.671129259492</v>
      </c>
      <c r="J28" s="2">
        <f t="shared" si="8"/>
        <v>53366.602179268084</v>
      </c>
      <c r="K28" s="2">
        <f t="shared" si="8"/>
        <v>57236.91511935334</v>
      </c>
    </row>
    <row r="29" spans="2:12" x14ac:dyDescent="0.35">
      <c r="E29" s="49"/>
    </row>
    <row r="30" spans="2:12" x14ac:dyDescent="0.35">
      <c r="B30" t="s">
        <v>135</v>
      </c>
      <c r="E30" s="49">
        <v>21</v>
      </c>
      <c r="F30" s="88">
        <f>F26/F32</f>
        <v>22.035513176064768</v>
      </c>
      <c r="G30" s="88">
        <f t="shared" ref="G30:K30" si="9">G26/G32</f>
        <v>22.784140313429088</v>
      </c>
      <c r="H30" s="88">
        <f t="shared" si="9"/>
        <v>24.457720162973796</v>
      </c>
      <c r="I30" s="88">
        <f t="shared" si="9"/>
        <v>26.563933139823217</v>
      </c>
      <c r="J30" s="88">
        <f t="shared" si="9"/>
        <v>28.472308011621628</v>
      </c>
      <c r="K30" s="88">
        <f t="shared" si="9"/>
        <v>30.537208860307885</v>
      </c>
    </row>
    <row r="31" spans="2:12" x14ac:dyDescent="0.35">
      <c r="E31" s="49"/>
    </row>
    <row r="32" spans="2:12" x14ac:dyDescent="0.35">
      <c r="B32" t="s">
        <v>136</v>
      </c>
      <c r="E32" s="50">
        <v>813</v>
      </c>
      <c r="F32" s="39">
        <v>813</v>
      </c>
      <c r="G32" s="39">
        <v>813</v>
      </c>
      <c r="H32" s="31">
        <v>813</v>
      </c>
      <c r="I32" s="39">
        <v>813</v>
      </c>
      <c r="J32" s="39">
        <v>813</v>
      </c>
      <c r="K32" s="39">
        <v>813</v>
      </c>
    </row>
    <row r="33" spans="2:12" x14ac:dyDescent="0.35">
      <c r="E33" s="49"/>
    </row>
    <row r="34" spans="2:12" x14ac:dyDescent="0.35">
      <c r="B34" t="s">
        <v>134</v>
      </c>
      <c r="E34" s="49">
        <v>17063.36</v>
      </c>
    </row>
    <row r="35" spans="2:12" x14ac:dyDescent="0.35">
      <c r="E35" s="49"/>
    </row>
    <row r="36" spans="2:12" x14ac:dyDescent="0.35">
      <c r="E36" s="85">
        <f>E34/E25</f>
        <v>0.3025303649826051</v>
      </c>
      <c r="F36" s="16">
        <f>E36</f>
        <v>0.3025303649826051</v>
      </c>
      <c r="G36" s="16">
        <f t="shared" ref="G36:K36" si="10">F36</f>
        <v>0.3025303649826051</v>
      </c>
      <c r="H36" s="16">
        <f t="shared" si="10"/>
        <v>0.3025303649826051</v>
      </c>
      <c r="I36" s="16">
        <f t="shared" si="10"/>
        <v>0.3025303649826051</v>
      </c>
      <c r="J36" s="16">
        <f t="shared" si="10"/>
        <v>0.3025303649826051</v>
      </c>
      <c r="K36" s="16">
        <f t="shared" si="10"/>
        <v>0.3025303649826051</v>
      </c>
    </row>
    <row r="37" spans="2:12" x14ac:dyDescent="0.35">
      <c r="B37" s="53"/>
      <c r="C37" s="53"/>
      <c r="D37" s="53"/>
      <c r="E37" s="54"/>
      <c r="F37" s="53"/>
      <c r="G37" s="53"/>
      <c r="H37" s="53"/>
      <c r="I37" s="53"/>
      <c r="J37" s="53"/>
      <c r="K37" s="53"/>
      <c r="L37" s="53"/>
    </row>
  </sheetData>
  <sheetProtection algorithmName="SHA-512" hashValue="JaZC/Bm50Z5tdmEu6+77p0epDLWnX9rCW4SRd0HhaxBxDTbgJSBD4EtYM+TfIp7dx0m5+wUF95bC2EMpU1jN0A==" saltValue="mI96padiUS2SqjtWpKgjfg==" spinCount="100000" sheet="1" objects="1" scenario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3025-ADB7-4775-8875-F4892CB11BCB}">
  <dimension ref="A1:M81"/>
  <sheetViews>
    <sheetView workbookViewId="0">
      <pane ySplit="6" topLeftCell="A7" activePane="bottomLeft" state="frozen"/>
      <selection activeCell="B12" sqref="B12"/>
      <selection pane="bottomLeft" activeCell="B2" sqref="B2"/>
    </sheetView>
  </sheetViews>
  <sheetFormatPr defaultColWidth="0" defaultRowHeight="14.5" x14ac:dyDescent="0.35"/>
  <cols>
    <col min="1" max="1" width="1.81640625" customWidth="1"/>
    <col min="2" max="2" width="34.6328125" customWidth="1"/>
    <col min="3" max="11" width="8.7265625" customWidth="1"/>
    <col min="12" max="12" width="3.6328125" customWidth="1"/>
    <col min="13" max="13" width="0" hidden="1" customWidth="1"/>
    <col min="14" max="16384" width="8.7265625" hidden="1"/>
  </cols>
  <sheetData>
    <row r="1" spans="1:12" x14ac:dyDescent="0.35">
      <c r="A1" s="3"/>
      <c r="B1" s="3"/>
      <c r="C1" s="3"/>
      <c r="D1" s="3"/>
      <c r="E1" s="47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47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47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7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48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x14ac:dyDescent="0.35">
      <c r="E7" s="49"/>
    </row>
    <row r="8" spans="1:12" x14ac:dyDescent="0.35">
      <c r="B8" s="4" t="s">
        <v>52</v>
      </c>
      <c r="E8" s="49"/>
    </row>
    <row r="9" spans="1:12" x14ac:dyDescent="0.35">
      <c r="B9" t="s">
        <v>53</v>
      </c>
      <c r="E9" s="49"/>
    </row>
    <row r="10" spans="1:12" x14ac:dyDescent="0.35">
      <c r="B10" t="s">
        <v>54</v>
      </c>
      <c r="C10" s="6">
        <v>57656.36</v>
      </c>
      <c r="D10" s="6">
        <v>67135.59</v>
      </c>
      <c r="E10" s="66">
        <v>62907.54</v>
      </c>
      <c r="F10" s="5">
        <f>'BS shcedule'!F27</f>
        <v>87627.217949999991</v>
      </c>
      <c r="G10" s="5">
        <f>'BS shcedule'!G27</f>
        <v>84783.115308125271</v>
      </c>
      <c r="H10" s="5">
        <f>'BS shcedule'!H27</f>
        <v>81634.593002581154</v>
      </c>
      <c r="I10" s="5">
        <f>'BS shcedule'!I27</f>
        <v>78159.596974322863</v>
      </c>
      <c r="J10" s="5">
        <f>'BS shcedule'!J27</f>
        <v>74334.273553087609</v>
      </c>
      <c r="K10" s="5">
        <f>'BS shcedule'!K27</f>
        <v>70132.822609119117</v>
      </c>
    </row>
    <row r="11" spans="1:12" x14ac:dyDescent="0.35">
      <c r="B11" t="s">
        <v>55</v>
      </c>
      <c r="C11" s="6">
        <v>13366.35</v>
      </c>
      <c r="D11" s="6">
        <v>6528.42</v>
      </c>
      <c r="E11" s="66">
        <v>47183.61</v>
      </c>
      <c r="F11" s="5">
        <f>'BS shcedule'!F16</f>
        <v>22767.635453534327</v>
      </c>
      <c r="G11" s="5">
        <f>'BS shcedule'!G16</f>
        <v>24594.512445313056</v>
      </c>
      <c r="H11" s="5">
        <f>'BS shcedule'!H16</f>
        <v>26570.462599620907</v>
      </c>
      <c r="I11" s="5">
        <f>'BS shcedule'!I16</f>
        <v>28707.650286520293</v>
      </c>
      <c r="J11" s="5">
        <f>'BS shcedule'!J16</f>
        <v>31019.232488670663</v>
      </c>
      <c r="K11" s="5">
        <f>'BS shcedule'!K16</f>
        <v>33519.439798516512</v>
      </c>
    </row>
    <row r="12" spans="1:12" x14ac:dyDescent="0.35">
      <c r="B12" t="s">
        <v>56</v>
      </c>
      <c r="C12" s="6">
        <v>577.65</v>
      </c>
      <c r="D12" s="6">
        <v>6183.42</v>
      </c>
      <c r="E12" s="66">
        <v>6192.5</v>
      </c>
      <c r="F12" s="5">
        <f>'BS shcedule'!F58</f>
        <v>7921.2094551532864</v>
      </c>
      <c r="G12" s="5">
        <f>'BS shcedule'!G58</f>
        <v>9719.8716647860692</v>
      </c>
      <c r="H12" s="5">
        <f>'BS shcedule'!H58</f>
        <v>11594.322809654415</v>
      </c>
      <c r="I12" s="5">
        <f>'BS shcedule'!I58</f>
        <v>13550.875302864093</v>
      </c>
      <c r="J12" s="5">
        <f>'BS shcedule'!J58</f>
        <v>15596.356650430296</v>
      </c>
      <c r="K12" s="5">
        <f>'BS shcedule'!K58</f>
        <v>17738.151482859059</v>
      </c>
    </row>
    <row r="13" spans="1:12" x14ac:dyDescent="0.35">
      <c r="B13" t="s">
        <v>57</v>
      </c>
      <c r="C13" s="6">
        <v>3270.32</v>
      </c>
      <c r="D13" s="6">
        <v>2825.26</v>
      </c>
      <c r="E13" s="66">
        <v>1951.01</v>
      </c>
      <c r="F13" s="5">
        <f>'BS shcedule'!F43</f>
        <v>1569.9662288750733</v>
      </c>
      <c r="G13" s="5">
        <f>'BS shcedule'!G43</f>
        <v>1203.823945075872</v>
      </c>
      <c r="H13" s="5">
        <f>'BS shcedule'!H43</f>
        <v>847.71061325353912</v>
      </c>
      <c r="I13" s="5">
        <f>'BS shcedule'!I43</f>
        <v>847.71061325353912</v>
      </c>
      <c r="J13" s="5">
        <f>'BS shcedule'!J43</f>
        <v>847.71061325353912</v>
      </c>
      <c r="K13" s="5">
        <f>'BS shcedule'!K43</f>
        <v>847.71061325353912</v>
      </c>
    </row>
    <row r="14" spans="1:12" x14ac:dyDescent="0.35">
      <c r="B14" t="s">
        <v>58</v>
      </c>
      <c r="C14" s="7"/>
      <c r="D14" s="7"/>
      <c r="E14" s="69"/>
    </row>
    <row r="15" spans="1:12" x14ac:dyDescent="0.35">
      <c r="B15" t="s">
        <v>59</v>
      </c>
      <c r="C15" s="6">
        <v>516.97</v>
      </c>
      <c r="D15" s="6">
        <v>624.12</v>
      </c>
      <c r="E15" s="66">
        <v>774.01</v>
      </c>
      <c r="F15" s="31">
        <f>E15</f>
        <v>774.01</v>
      </c>
      <c r="G15" s="31">
        <f t="shared" ref="G15:K15" si="1">F15</f>
        <v>774.01</v>
      </c>
      <c r="H15" s="31">
        <f t="shared" si="1"/>
        <v>774.01</v>
      </c>
      <c r="I15" s="31">
        <f t="shared" si="1"/>
        <v>774.01</v>
      </c>
      <c r="J15" s="31">
        <f t="shared" si="1"/>
        <v>774.01</v>
      </c>
      <c r="K15" s="31">
        <f t="shared" si="1"/>
        <v>774.01</v>
      </c>
    </row>
    <row r="16" spans="1:12" x14ac:dyDescent="0.35">
      <c r="B16" t="s">
        <v>60</v>
      </c>
      <c r="C16" s="6">
        <v>8265.99</v>
      </c>
      <c r="D16" s="6">
        <v>9477.9</v>
      </c>
      <c r="E16" s="66">
        <v>10320.99</v>
      </c>
      <c r="F16" s="31">
        <f t="shared" ref="F16:K18" si="2">E16</f>
        <v>10320.99</v>
      </c>
      <c r="G16" s="31">
        <f t="shared" si="2"/>
        <v>10320.99</v>
      </c>
      <c r="H16" s="31">
        <f t="shared" si="2"/>
        <v>10320.99</v>
      </c>
      <c r="I16" s="31">
        <f t="shared" si="2"/>
        <v>10320.99</v>
      </c>
      <c r="J16" s="31">
        <f t="shared" si="2"/>
        <v>10320.99</v>
      </c>
      <c r="K16" s="31">
        <f t="shared" si="2"/>
        <v>10320.99</v>
      </c>
    </row>
    <row r="17" spans="1:12" x14ac:dyDescent="0.35">
      <c r="B17" t="s">
        <v>61</v>
      </c>
      <c r="C17" s="6">
        <v>6146.71</v>
      </c>
      <c r="D17" s="6">
        <v>6886.39</v>
      </c>
      <c r="E17" s="66">
        <v>6465.27</v>
      </c>
      <c r="F17" s="31">
        <f t="shared" si="2"/>
        <v>6465.27</v>
      </c>
      <c r="G17" s="31">
        <f t="shared" si="2"/>
        <v>6465.27</v>
      </c>
      <c r="H17" s="31">
        <f t="shared" si="2"/>
        <v>6465.27</v>
      </c>
      <c r="I17" s="31">
        <f t="shared" si="2"/>
        <v>6465.27</v>
      </c>
      <c r="J17" s="31">
        <f t="shared" si="2"/>
        <v>6465.27</v>
      </c>
      <c r="K17" s="31">
        <f t="shared" si="2"/>
        <v>6465.27</v>
      </c>
    </row>
    <row r="18" spans="1:12" x14ac:dyDescent="0.35">
      <c r="B18" t="s">
        <v>62</v>
      </c>
      <c r="C18" s="6">
        <v>2313.36</v>
      </c>
      <c r="D18" s="6">
        <v>2590.92</v>
      </c>
      <c r="E18" s="66">
        <v>4855.25</v>
      </c>
      <c r="F18" s="31">
        <f t="shared" si="2"/>
        <v>4855.25</v>
      </c>
      <c r="G18" s="31">
        <f t="shared" si="2"/>
        <v>4855.25</v>
      </c>
      <c r="H18" s="31">
        <f t="shared" si="2"/>
        <v>4855.25</v>
      </c>
      <c r="I18" s="31">
        <f t="shared" si="2"/>
        <v>4855.25</v>
      </c>
      <c r="J18" s="31">
        <f t="shared" si="2"/>
        <v>4855.25</v>
      </c>
      <c r="K18" s="31">
        <f t="shared" si="2"/>
        <v>4855.25</v>
      </c>
    </row>
    <row r="19" spans="1:12" ht="15" thickBot="1" x14ac:dyDescent="0.4">
      <c r="E19" s="49"/>
    </row>
    <row r="20" spans="1:12" ht="15" thickBot="1" x14ac:dyDescent="0.4">
      <c r="B20" s="27" t="s">
        <v>63</v>
      </c>
      <c r="C20" s="43">
        <v>92113.71</v>
      </c>
      <c r="D20" s="43">
        <v>102252.02</v>
      </c>
      <c r="E20" s="84">
        <v>140650.18</v>
      </c>
      <c r="F20" s="43">
        <f>SUM(F10:F18)</f>
        <v>142301.54908756266</v>
      </c>
      <c r="G20" s="43">
        <f>SUM(G10:G18)</f>
        <v>142716.84336330026</v>
      </c>
      <c r="H20" s="43">
        <f>SUM(H10:H18)</f>
        <v>143062.60902511</v>
      </c>
      <c r="I20" s="43">
        <f>SUM(I10:I18)</f>
        <v>143681.35317696078</v>
      </c>
      <c r="J20" s="43">
        <f>SUM(J10:J18)</f>
        <v>144213.0933054421</v>
      </c>
      <c r="K20" s="43">
        <f>SUM(K10:K18)</f>
        <v>144653.64450374822</v>
      </c>
      <c r="L20" s="28"/>
    </row>
    <row r="21" spans="1:12" ht="15" thickTop="1" x14ac:dyDescent="0.35">
      <c r="E21" s="49"/>
    </row>
    <row r="22" spans="1:12" x14ac:dyDescent="0.35">
      <c r="B22" s="4" t="s">
        <v>64</v>
      </c>
      <c r="E22" s="49"/>
    </row>
    <row r="23" spans="1:12" x14ac:dyDescent="0.35">
      <c r="B23" t="s">
        <v>65</v>
      </c>
      <c r="C23" s="6">
        <v>34224.089999999997</v>
      </c>
      <c r="D23" s="6">
        <v>33156.29</v>
      </c>
      <c r="E23" s="66">
        <v>34043.57</v>
      </c>
      <c r="F23" s="5">
        <f>'BS shcedule'!F70</f>
        <v>37021.343069274888</v>
      </c>
      <c r="G23" s="5">
        <f>'BS shcedule'!G70</f>
        <v>39991.938764029219</v>
      </c>
      <c r="H23" s="5">
        <f>'BS shcedule'!H70</f>
        <v>43204.935067475475</v>
      </c>
      <c r="I23" s="5">
        <f>'BS shcedule'!I70</f>
        <v>46680.11186928297</v>
      </c>
      <c r="J23" s="5">
        <f>'BS shcedule'!J70</f>
        <v>50438.86309811793</v>
      </c>
      <c r="K23" s="5">
        <f>'BS shcedule'!K70</f>
        <v>54504.328427225853</v>
      </c>
    </row>
    <row r="24" spans="1:12" x14ac:dyDescent="0.35">
      <c r="B24" t="s">
        <v>58</v>
      </c>
      <c r="C24" s="7"/>
      <c r="D24" s="7"/>
      <c r="E24" s="69"/>
      <c r="F24" s="4"/>
      <c r="G24" s="4"/>
      <c r="H24" s="4"/>
      <c r="I24" s="4"/>
      <c r="J24" s="4"/>
      <c r="K24" s="4"/>
    </row>
    <row r="25" spans="1:12" x14ac:dyDescent="0.35">
      <c r="B25" t="s">
        <v>66</v>
      </c>
      <c r="C25" s="6">
        <v>28971.919999999998</v>
      </c>
      <c r="D25" s="6">
        <v>25100.26</v>
      </c>
      <c r="E25" s="66">
        <v>23891.23</v>
      </c>
      <c r="F25" s="5">
        <f>'BS shcedule'!F71</f>
        <v>30090.44967235699</v>
      </c>
      <c r="G25" s="5">
        <f>'BS shcedule'!G71</f>
        <v>32504.90989554943</v>
      </c>
      <c r="H25" s="5">
        <f>'BS shcedule'!H71</f>
        <v>35116.39007295436</v>
      </c>
      <c r="I25" s="5">
        <f>'BS shcedule'!I71</f>
        <v>37940.967032835542</v>
      </c>
      <c r="J25" s="5">
        <f>'BS shcedule'!J71</f>
        <v>40996.029472643015</v>
      </c>
      <c r="K25" s="5">
        <f>'BS shcedule'!K71</f>
        <v>44300.385007538796</v>
      </c>
    </row>
    <row r="26" spans="1:12" x14ac:dyDescent="0.35">
      <c r="B26" t="s">
        <v>67</v>
      </c>
      <c r="C26" s="6">
        <v>177411.47</v>
      </c>
      <c r="D26" s="6">
        <v>9732.15</v>
      </c>
      <c r="E26" s="66">
        <v>48457.17</v>
      </c>
      <c r="F26" s="5">
        <f>CFS!F38</f>
        <v>86434.465671042344</v>
      </c>
      <c r="G26" s="5">
        <f>CFS!G38</f>
        <v>124472.67920817826</v>
      </c>
      <c r="H26" s="5">
        <f>CFS!H38</f>
        <v>171167.58625165588</v>
      </c>
      <c r="I26" s="5">
        <f>CFS!I38</f>
        <v>221635.0782265329</v>
      </c>
      <c r="J26" s="5">
        <f>CFS!J38</f>
        <v>275872.30497858138</v>
      </c>
      <c r="K26" s="5">
        <f>CFS!K38</f>
        <v>334185.46656051325</v>
      </c>
    </row>
    <row r="27" spans="1:12" x14ac:dyDescent="0.35">
      <c r="B27" t="s">
        <v>68</v>
      </c>
      <c r="C27" s="6">
        <v>0</v>
      </c>
      <c r="D27" s="6">
        <v>80441.3</v>
      </c>
      <c r="E27" s="66">
        <v>37334.53</v>
      </c>
      <c r="F27" s="31">
        <f>E27</f>
        <v>37334.53</v>
      </c>
      <c r="G27" s="31">
        <f t="shared" ref="G27:K27" si="3">F27</f>
        <v>37334.53</v>
      </c>
      <c r="H27" s="31">
        <f t="shared" si="3"/>
        <v>37334.53</v>
      </c>
      <c r="I27" s="31">
        <f t="shared" si="3"/>
        <v>37334.53</v>
      </c>
      <c r="J27" s="31">
        <f t="shared" si="3"/>
        <v>37334.53</v>
      </c>
      <c r="K27" s="31">
        <f t="shared" si="3"/>
        <v>37334.53</v>
      </c>
    </row>
    <row r="28" spans="1:12" x14ac:dyDescent="0.35">
      <c r="B28" t="s">
        <v>95</v>
      </c>
      <c r="C28" s="6">
        <v>659.48</v>
      </c>
      <c r="D28" s="6">
        <v>0</v>
      </c>
      <c r="E28" s="66">
        <v>0</v>
      </c>
      <c r="F28" s="31">
        <f>0</f>
        <v>0</v>
      </c>
      <c r="G28" s="31">
        <f>0</f>
        <v>0</v>
      </c>
      <c r="H28" s="31">
        <f>0</f>
        <v>0</v>
      </c>
      <c r="I28" s="31">
        <f>0</f>
        <v>0</v>
      </c>
      <c r="J28" s="31">
        <f>0</f>
        <v>0</v>
      </c>
      <c r="K28" s="31">
        <f>0</f>
        <v>0</v>
      </c>
    </row>
    <row r="29" spans="1:12" x14ac:dyDescent="0.35">
      <c r="B29" t="s">
        <v>59</v>
      </c>
      <c r="C29" s="6">
        <v>4539.58</v>
      </c>
      <c r="D29" s="6">
        <v>3439.24</v>
      </c>
      <c r="E29" s="66">
        <v>4572.66</v>
      </c>
      <c r="F29" s="31">
        <f>E29</f>
        <v>4572.66</v>
      </c>
      <c r="G29" s="31">
        <f t="shared" ref="G29:K29" si="4">F29</f>
        <v>4572.66</v>
      </c>
      <c r="H29" s="31">
        <f t="shared" si="4"/>
        <v>4572.66</v>
      </c>
      <c r="I29" s="31">
        <f t="shared" si="4"/>
        <v>4572.66</v>
      </c>
      <c r="J29" s="31">
        <f t="shared" si="4"/>
        <v>4572.66</v>
      </c>
      <c r="K29" s="31">
        <f t="shared" si="4"/>
        <v>4572.66</v>
      </c>
    </row>
    <row r="30" spans="1:12" s="24" customFormat="1" x14ac:dyDescent="0.35">
      <c r="A30"/>
      <c r="B30" t="s">
        <v>69</v>
      </c>
      <c r="C30" s="6">
        <v>7813.17</v>
      </c>
      <c r="D30" s="6">
        <v>9371.19</v>
      </c>
      <c r="E30" s="66">
        <v>12024.25</v>
      </c>
      <c r="F30" s="31">
        <f>E30</f>
        <v>12024.25</v>
      </c>
      <c r="G30" s="31">
        <f t="shared" ref="G30:K30" si="5">F30</f>
        <v>12024.25</v>
      </c>
      <c r="H30" s="31">
        <f t="shared" si="5"/>
        <v>12024.25</v>
      </c>
      <c r="I30" s="31">
        <f t="shared" si="5"/>
        <v>12024.25</v>
      </c>
      <c r="J30" s="31">
        <f t="shared" si="5"/>
        <v>12024.25</v>
      </c>
      <c r="K30" s="31">
        <f t="shared" si="5"/>
        <v>12024.25</v>
      </c>
      <c r="L30"/>
    </row>
    <row r="31" spans="1:12" x14ac:dyDescent="0.35">
      <c r="E31" s="49"/>
    </row>
    <row r="32" spans="1:12" s="24" customFormat="1" x14ac:dyDescent="0.35">
      <c r="A32"/>
      <c r="B32" s="55" t="s">
        <v>70</v>
      </c>
      <c r="C32" s="56">
        <f>SUM(C23:C30)</f>
        <v>253619.71</v>
      </c>
      <c r="D32" s="56">
        <f>SUM(D23:D30)</f>
        <v>161240.43</v>
      </c>
      <c r="E32" s="75">
        <f>SUM(E23:E30)</f>
        <v>160323.41</v>
      </c>
      <c r="F32" s="56">
        <f>SUM(F23:F30)</f>
        <v>207477.69841267425</v>
      </c>
      <c r="G32" s="56">
        <f>SUM(G23:G30)</f>
        <v>250900.9678677569</v>
      </c>
      <c r="H32" s="56">
        <f>SUM(H23:H30)</f>
        <v>303420.35139208572</v>
      </c>
      <c r="I32" s="56">
        <f>SUM(I23:I30)</f>
        <v>360187.5971286514</v>
      </c>
      <c r="J32" s="56">
        <f>SUM(J23:J30)</f>
        <v>421238.6375493423</v>
      </c>
      <c r="K32" s="56">
        <f>SUM(K23:K30)</f>
        <v>486921.6199952779</v>
      </c>
      <c r="L32" s="76"/>
    </row>
    <row r="33" spans="1:12" x14ac:dyDescent="0.35">
      <c r="E33" s="49"/>
    </row>
    <row r="34" spans="1:12" ht="15" thickBot="1" x14ac:dyDescent="0.4">
      <c r="B34" s="25" t="s">
        <v>71</v>
      </c>
      <c r="C34" s="26">
        <v>345733.42</v>
      </c>
      <c r="D34" s="26">
        <v>263492.45</v>
      </c>
      <c r="E34" s="82">
        <v>300973.59000000003</v>
      </c>
      <c r="F34" s="57">
        <f>SUM(F32+F20)</f>
        <v>349779.2475002369</v>
      </c>
      <c r="G34" s="57">
        <f>SUM(G32+G20)</f>
        <v>393617.81123105716</v>
      </c>
      <c r="H34" s="57">
        <f>SUM(H32+H20)</f>
        <v>446482.96041719569</v>
      </c>
      <c r="I34" s="57">
        <f>SUM(I32+I20)</f>
        <v>503868.95030561218</v>
      </c>
      <c r="J34" s="57">
        <f>SUM(J32+J20)</f>
        <v>565451.73085478437</v>
      </c>
      <c r="K34" s="57">
        <f>SUM(K32+K20)</f>
        <v>631575.26449902612</v>
      </c>
      <c r="L34" s="83"/>
    </row>
    <row r="35" spans="1:12" x14ac:dyDescent="0.35">
      <c r="E35" s="49"/>
    </row>
    <row r="36" spans="1:12" x14ac:dyDescent="0.35">
      <c r="B36" s="4" t="s">
        <v>72</v>
      </c>
      <c r="C36" s="2"/>
      <c r="D36" s="2"/>
      <c r="E36" s="50"/>
    </row>
    <row r="37" spans="1:12" x14ac:dyDescent="0.35">
      <c r="B37" t="s">
        <v>73</v>
      </c>
      <c r="C37" s="2"/>
      <c r="D37" s="2"/>
      <c r="E37" s="50"/>
    </row>
    <row r="38" spans="1:12" x14ac:dyDescent="0.35">
      <c r="B38" t="s">
        <v>74</v>
      </c>
      <c r="C38" s="6">
        <v>8125.41</v>
      </c>
      <c r="D38" s="6">
        <v>8125.41</v>
      </c>
      <c r="E38" s="66">
        <v>8125.41</v>
      </c>
      <c r="F38" s="2">
        <f>E38</f>
        <v>8125.41</v>
      </c>
      <c r="G38" s="2">
        <f t="shared" ref="G38:K38" si="6">F38</f>
        <v>8125.41</v>
      </c>
      <c r="H38" s="2">
        <f t="shared" si="6"/>
        <v>8125.41</v>
      </c>
      <c r="I38" s="2">
        <f t="shared" si="6"/>
        <v>8125.41</v>
      </c>
      <c r="J38" s="2">
        <f t="shared" si="6"/>
        <v>8125.41</v>
      </c>
      <c r="K38" s="2">
        <f t="shared" si="6"/>
        <v>8125.41</v>
      </c>
    </row>
    <row r="39" spans="1:12" s="24" customFormat="1" x14ac:dyDescent="0.35">
      <c r="A39"/>
      <c r="B39" t="s">
        <v>75</v>
      </c>
      <c r="C39" s="6">
        <v>192422.77</v>
      </c>
      <c r="D39" s="6">
        <v>98531.16</v>
      </c>
      <c r="E39" s="66">
        <v>154839.24</v>
      </c>
      <c r="F39" s="2">
        <f>E39+'Revised IS'!F28</f>
        <v>196141.14165837882</v>
      </c>
      <c r="G39" s="2">
        <f>F39+'Revised IS'!G28</f>
        <v>238846.22027747397</v>
      </c>
      <c r="H39" s="2">
        <f>G39+'Revised IS'!H28</f>
        <v>284688.1457587707</v>
      </c>
      <c r="I39" s="2">
        <f>H39+'Revised IS'!I28</f>
        <v>334477.81688803021</v>
      </c>
      <c r="J39" s="2">
        <f>I39+'Revised IS'!J28</f>
        <v>387844.41906729829</v>
      </c>
      <c r="K39" s="2">
        <f>J39+'Revised IS'!K28</f>
        <v>445081.33418665163</v>
      </c>
      <c r="L39"/>
    </row>
    <row r="40" spans="1:12" x14ac:dyDescent="0.35">
      <c r="E40" s="49"/>
    </row>
    <row r="41" spans="1:12" x14ac:dyDescent="0.35">
      <c r="B41" s="55" t="s">
        <v>76</v>
      </c>
      <c r="C41" s="56">
        <f>SUM(C38:C39)</f>
        <v>200548.18</v>
      </c>
      <c r="D41" s="56">
        <f>SUM(D38:D39)</f>
        <v>106656.57</v>
      </c>
      <c r="E41" s="75">
        <f>SUM(E38:E39)</f>
        <v>162964.65</v>
      </c>
      <c r="F41" s="56">
        <f>SUM(F38:F39)</f>
        <v>204266.55165837883</v>
      </c>
      <c r="G41" s="56">
        <f>SUM(G38:G39)</f>
        <v>246971.63027747397</v>
      </c>
      <c r="H41" s="56">
        <f>SUM(H38:H39)</f>
        <v>292813.55575877067</v>
      </c>
      <c r="I41" s="56">
        <f>SUM(I38:I39)</f>
        <v>342603.22688803019</v>
      </c>
      <c r="J41" s="56">
        <f>SUM(J38:J39)</f>
        <v>395969.82906729827</v>
      </c>
      <c r="K41" s="56">
        <f>SUM(K38:K39)</f>
        <v>453206.7441866516</v>
      </c>
      <c r="L41" s="76"/>
    </row>
    <row r="42" spans="1:12" x14ac:dyDescent="0.35">
      <c r="E42" s="49"/>
    </row>
    <row r="43" spans="1:12" x14ac:dyDescent="0.35">
      <c r="B43" s="4" t="s">
        <v>77</v>
      </c>
      <c r="E43" s="49"/>
    </row>
    <row r="44" spans="1:12" x14ac:dyDescent="0.35">
      <c r="B44" t="s">
        <v>78</v>
      </c>
      <c r="E44" s="49"/>
    </row>
    <row r="45" spans="1:12" x14ac:dyDescent="0.35">
      <c r="B45" t="s">
        <v>79</v>
      </c>
      <c r="E45" s="49"/>
    </row>
    <row r="46" spans="1:12" x14ac:dyDescent="0.35">
      <c r="B46" t="s">
        <v>80</v>
      </c>
      <c r="C46" s="6">
        <v>7065.66</v>
      </c>
      <c r="D46" s="6">
        <v>6227.97</v>
      </c>
      <c r="E46" s="66">
        <v>5359.88</v>
      </c>
      <c r="F46" s="11">
        <f>Debt!G22</f>
        <v>0</v>
      </c>
      <c r="G46" s="11">
        <f>Debt!H22</f>
        <v>0</v>
      </c>
      <c r="H46" s="11">
        <f>Debt!I22</f>
        <v>0</v>
      </c>
      <c r="I46" s="11">
        <f>Debt!J22</f>
        <v>0</v>
      </c>
      <c r="J46" s="11">
        <f>Debt!K22</f>
        <v>0</v>
      </c>
      <c r="K46" s="11">
        <f>Debt!L22</f>
        <v>0</v>
      </c>
    </row>
    <row r="47" spans="1:12" x14ac:dyDescent="0.35">
      <c r="B47" t="s">
        <v>81</v>
      </c>
      <c r="C47" s="6">
        <v>267.23</v>
      </c>
      <c r="D47" s="6">
        <v>557.67999999999995</v>
      </c>
      <c r="E47" s="66">
        <v>474.38</v>
      </c>
      <c r="F47" s="31">
        <v>474.38</v>
      </c>
      <c r="G47" s="31">
        <v>474.38</v>
      </c>
      <c r="H47" s="31">
        <v>474.38</v>
      </c>
      <c r="I47" s="31">
        <v>474.38</v>
      </c>
      <c r="J47" s="31">
        <v>474.38</v>
      </c>
      <c r="K47" s="31">
        <v>474.38</v>
      </c>
    </row>
    <row r="48" spans="1:12" x14ac:dyDescent="0.35">
      <c r="B48" t="s">
        <v>82</v>
      </c>
      <c r="C48" s="6">
        <v>8037.65</v>
      </c>
      <c r="D48" s="6">
        <v>8467.39</v>
      </c>
      <c r="E48" s="66">
        <v>8736.3700000000008</v>
      </c>
      <c r="F48" s="31">
        <v>8736.3700000000008</v>
      </c>
      <c r="G48" s="31">
        <v>8736.3700000000008</v>
      </c>
      <c r="H48" s="31">
        <v>8736.3700000000008</v>
      </c>
      <c r="I48" s="31">
        <v>8736.3700000000008</v>
      </c>
      <c r="J48" s="31">
        <v>8736.3700000000008</v>
      </c>
      <c r="K48" s="31">
        <v>8736.3700000000008</v>
      </c>
    </row>
    <row r="49" spans="2:12" x14ac:dyDescent="0.35">
      <c r="B49" t="s">
        <v>83</v>
      </c>
      <c r="C49" s="6">
        <v>9759.5499999999993</v>
      </c>
      <c r="D49" s="6">
        <v>11610.97</v>
      </c>
      <c r="E49" s="66">
        <v>10775.08</v>
      </c>
      <c r="F49" s="31">
        <v>10775.08</v>
      </c>
      <c r="G49" s="31">
        <v>10775.08</v>
      </c>
      <c r="H49" s="31">
        <v>10775.08</v>
      </c>
      <c r="I49" s="31">
        <v>10775.08</v>
      </c>
      <c r="J49" s="31">
        <v>10775.08</v>
      </c>
      <c r="K49" s="31">
        <v>10775.08</v>
      </c>
    </row>
    <row r="50" spans="2:12" ht="15" thickBot="1" x14ac:dyDescent="0.4">
      <c r="E50" s="49"/>
    </row>
    <row r="51" spans="2:12" ht="15" thickBot="1" x14ac:dyDescent="0.4">
      <c r="B51" s="27" t="s">
        <v>84</v>
      </c>
      <c r="C51" s="80">
        <f>SUM(C46:C49)</f>
        <v>25130.089999999997</v>
      </c>
      <c r="D51" s="80">
        <f>SUM(D46:D49)</f>
        <v>26864.010000000002</v>
      </c>
      <c r="E51" s="81">
        <f>SUM(E46:E49)</f>
        <v>25345.71</v>
      </c>
      <c r="F51" s="80">
        <f>SUM(F46:F49)</f>
        <v>19985.830000000002</v>
      </c>
      <c r="G51" s="80">
        <f>SUM(G46:G49)</f>
        <v>19985.830000000002</v>
      </c>
      <c r="H51" s="80">
        <f>SUM(H46:H49)</f>
        <v>19985.830000000002</v>
      </c>
      <c r="I51" s="80">
        <f>SUM(I46:I49)</f>
        <v>19985.830000000002</v>
      </c>
      <c r="J51" s="80">
        <f>SUM(J46:J49)</f>
        <v>19985.830000000002</v>
      </c>
      <c r="K51" s="80">
        <f>SUM(K46:K49)</f>
        <v>19985.830000000002</v>
      </c>
      <c r="L51" s="28"/>
    </row>
    <row r="52" spans="2:12" ht="15" thickTop="1" x14ac:dyDescent="0.35">
      <c r="E52" s="49"/>
    </row>
    <row r="53" spans="2:12" x14ac:dyDescent="0.35">
      <c r="B53" s="4" t="s">
        <v>85</v>
      </c>
      <c r="E53" s="49"/>
    </row>
    <row r="54" spans="2:12" x14ac:dyDescent="0.35">
      <c r="B54" t="s">
        <v>79</v>
      </c>
      <c r="E54" s="49"/>
    </row>
    <row r="55" spans="2:12" x14ac:dyDescent="0.35">
      <c r="B55" t="s">
        <v>80</v>
      </c>
      <c r="C55" s="6">
        <v>4520.34</v>
      </c>
      <c r="D55" s="6">
        <v>1451.18</v>
      </c>
      <c r="E55" s="66">
        <v>2558.37</v>
      </c>
      <c r="F55" s="11">
        <f>Debt!F13</f>
        <v>5359.88</v>
      </c>
      <c r="G55" s="11">
        <f>Debt!G13</f>
        <v>0</v>
      </c>
      <c r="H55" s="11">
        <f>Debt!H13</f>
        <v>0</v>
      </c>
      <c r="I55" s="11">
        <f>Debt!I13</f>
        <v>0</v>
      </c>
      <c r="J55" s="11">
        <f>Debt!J13</f>
        <v>0</v>
      </c>
      <c r="K55" s="11">
        <f>Debt!K13</f>
        <v>0</v>
      </c>
    </row>
    <row r="56" spans="2:12" x14ac:dyDescent="0.35">
      <c r="B56" t="s">
        <v>81</v>
      </c>
      <c r="C56" s="6">
        <v>40.24</v>
      </c>
      <c r="D56" s="6">
        <v>95.58</v>
      </c>
      <c r="E56" s="66">
        <v>109.67</v>
      </c>
      <c r="F56" s="18">
        <f>E56</f>
        <v>109.67</v>
      </c>
      <c r="G56" s="18">
        <f t="shared" ref="G56:K56" si="7">F56</f>
        <v>109.67</v>
      </c>
      <c r="H56" s="18">
        <f t="shared" si="7"/>
        <v>109.67</v>
      </c>
      <c r="I56" s="18">
        <f t="shared" si="7"/>
        <v>109.67</v>
      </c>
      <c r="J56" s="18">
        <f t="shared" si="7"/>
        <v>109.67</v>
      </c>
      <c r="K56" s="18">
        <f t="shared" si="7"/>
        <v>109.67</v>
      </c>
    </row>
    <row r="57" spans="2:12" x14ac:dyDescent="0.35">
      <c r="B57" t="s">
        <v>86</v>
      </c>
      <c r="C57" s="7"/>
      <c r="D57" s="7"/>
      <c r="E57" s="69"/>
    </row>
    <row r="58" spans="2:12" x14ac:dyDescent="0.35">
      <c r="B58" t="s">
        <v>93</v>
      </c>
      <c r="C58" s="6">
        <v>1536.92</v>
      </c>
      <c r="D58" s="6">
        <v>2158.1799999999998</v>
      </c>
      <c r="E58" s="66">
        <v>1834.21</v>
      </c>
      <c r="F58" s="2">
        <f>$F$72*'BS shcedule'!F72</f>
        <v>2085.6718065230125</v>
      </c>
      <c r="G58" s="2">
        <f>$F$72*'BS shcedule'!G72</f>
        <v>2253.0262884372501</v>
      </c>
      <c r="H58" s="2">
        <f>$F$72*'BS shcedule'!H72</f>
        <v>2434.0368960756882</v>
      </c>
      <c r="I58" s="2">
        <f>$F$72*'BS shcedule'!I72</f>
        <v>2629.8179692974236</v>
      </c>
      <c r="J58" s="2">
        <f>$F$72*'BS shcedule'!J72</f>
        <v>2841.5747780940515</v>
      </c>
      <c r="K58" s="2">
        <f>$F$72*'BS shcedule'!K72</f>
        <v>3070.6109424884853</v>
      </c>
    </row>
    <row r="59" spans="2:12" x14ac:dyDescent="0.35">
      <c r="B59" t="s">
        <v>94</v>
      </c>
      <c r="C59" s="6">
        <v>72871.39</v>
      </c>
      <c r="D59" s="6">
        <v>72772.39</v>
      </c>
      <c r="E59" s="66">
        <v>69027.87</v>
      </c>
      <c r="F59" s="2">
        <f>'BS shcedule'!F72-BS!F58</f>
        <v>78838.534035335062</v>
      </c>
      <c r="G59" s="2">
        <f>'BS shcedule'!G72-BS!G58</f>
        <v>85164.54466514595</v>
      </c>
      <c r="H59" s="2">
        <f>'BS shcedule'!H72-BS!H58</f>
        <v>92006.757762349371</v>
      </c>
      <c r="I59" s="2">
        <f>'BS shcedule'!I72-BS!I58</f>
        <v>99407.295448284625</v>
      </c>
      <c r="J59" s="2">
        <f>'BS shcedule'!J72-BS!J58</f>
        <v>107411.71700939214</v>
      </c>
      <c r="K59" s="2">
        <f>'BS shcedule'!K72-BS!K58</f>
        <v>116069.29936988611</v>
      </c>
    </row>
    <row r="60" spans="2:12" x14ac:dyDescent="0.35">
      <c r="B60" t="s">
        <v>87</v>
      </c>
      <c r="C60" s="6">
        <v>8067.47</v>
      </c>
      <c r="D60" s="6">
        <v>5759.74</v>
      </c>
      <c r="E60" s="66">
        <v>15767.52</v>
      </c>
      <c r="F60" s="31">
        <v>15767.52</v>
      </c>
      <c r="G60" s="31">
        <v>15767.52</v>
      </c>
      <c r="H60" s="31">
        <v>15767.52</v>
      </c>
      <c r="I60" s="31">
        <v>15767.52</v>
      </c>
      <c r="J60" s="31">
        <v>15767.52</v>
      </c>
      <c r="K60" s="31">
        <v>15767.52</v>
      </c>
    </row>
    <row r="61" spans="2:12" x14ac:dyDescent="0.35">
      <c r="B61" t="s">
        <v>88</v>
      </c>
      <c r="C61" s="6">
        <v>25342.17</v>
      </c>
      <c r="D61" s="6">
        <v>39327.93</v>
      </c>
      <c r="E61" s="66">
        <v>14281.65</v>
      </c>
      <c r="F61" s="31">
        <v>14281.65</v>
      </c>
      <c r="G61" s="31">
        <v>14281.65</v>
      </c>
      <c r="H61" s="31">
        <v>14281.65</v>
      </c>
      <c r="I61" s="31">
        <v>14281.65</v>
      </c>
      <c r="J61" s="31">
        <v>14281.65</v>
      </c>
      <c r="K61" s="31">
        <v>14281.65</v>
      </c>
    </row>
    <row r="62" spans="2:12" x14ac:dyDescent="0.35">
      <c r="B62" t="s">
        <v>82</v>
      </c>
      <c r="C62" s="6">
        <v>4539.05</v>
      </c>
      <c r="D62" s="6">
        <v>4528.2</v>
      </c>
      <c r="E62" s="66">
        <v>4974.42</v>
      </c>
      <c r="F62" s="31">
        <v>4974.42</v>
      </c>
      <c r="G62" s="31">
        <v>4974.42</v>
      </c>
      <c r="H62" s="31">
        <v>4974.42</v>
      </c>
      <c r="I62" s="31">
        <v>4974.42</v>
      </c>
      <c r="J62" s="31">
        <v>4974.42</v>
      </c>
      <c r="K62" s="31">
        <v>4974.42</v>
      </c>
    </row>
    <row r="63" spans="2:12" x14ac:dyDescent="0.35">
      <c r="B63" t="s">
        <v>89</v>
      </c>
      <c r="C63" s="6">
        <v>3137.57</v>
      </c>
      <c r="D63" s="6">
        <v>3878.67</v>
      </c>
      <c r="E63" s="66">
        <v>4109.5200000000004</v>
      </c>
      <c r="F63" s="31">
        <v>4109.5200000000004</v>
      </c>
      <c r="G63" s="31">
        <v>4109.5200000000004</v>
      </c>
      <c r="H63" s="31">
        <v>4109.5200000000004</v>
      </c>
      <c r="I63" s="31">
        <v>4109.5200000000004</v>
      </c>
      <c r="J63" s="31">
        <v>4109.5200000000004</v>
      </c>
      <c r="K63" s="31">
        <v>4109.5200000000004</v>
      </c>
    </row>
    <row r="64" spans="2:12" ht="15" thickBot="1" x14ac:dyDescent="0.4">
      <c r="E64" s="49"/>
    </row>
    <row r="65" spans="2:12" ht="15" thickBot="1" x14ac:dyDescent="0.4">
      <c r="B65" s="27" t="s">
        <v>90</v>
      </c>
      <c r="C65" s="80">
        <f>SUM(C55:C63)</f>
        <v>120055.15000000001</v>
      </c>
      <c r="D65" s="80">
        <f>SUM(D55:D63)</f>
        <v>129971.87</v>
      </c>
      <c r="E65" s="81">
        <f>SUM(E55:E63)</f>
        <v>112663.23</v>
      </c>
      <c r="F65" s="80">
        <f>SUM(F55:F63)</f>
        <v>125526.86584185807</v>
      </c>
      <c r="G65" s="80">
        <f>SUM(G55:G63)</f>
        <v>126660.3509535832</v>
      </c>
      <c r="H65" s="80">
        <f>SUM(H55:H63)</f>
        <v>133683.57465842506</v>
      </c>
      <c r="I65" s="80">
        <f>SUM(I55:I63)</f>
        <v>141279.89341758206</v>
      </c>
      <c r="J65" s="80">
        <f>SUM(J55:J63)</f>
        <v>149496.0717874862</v>
      </c>
      <c r="K65" s="80">
        <f>SUM(K55:K63)</f>
        <v>158382.69031237459</v>
      </c>
      <c r="L65" s="28"/>
    </row>
    <row r="66" spans="2:12" ht="15.5" thickTop="1" thickBot="1" x14ac:dyDescent="0.4">
      <c r="E66" s="49"/>
    </row>
    <row r="67" spans="2:12" ht="15" thickBot="1" x14ac:dyDescent="0.4">
      <c r="B67" s="27" t="s">
        <v>91</v>
      </c>
      <c r="C67" s="80">
        <f>C51+C65</f>
        <v>145185.24</v>
      </c>
      <c r="D67" s="80">
        <f>D51+D65</f>
        <v>156835.88</v>
      </c>
      <c r="E67" s="81">
        <f>E51+E65</f>
        <v>138008.94</v>
      </c>
      <c r="F67" s="80">
        <f>F51+F65</f>
        <v>145512.69584185808</v>
      </c>
      <c r="G67" s="80">
        <f>G51+G65</f>
        <v>146646.18095358321</v>
      </c>
      <c r="H67" s="80">
        <f>H51+H65</f>
        <v>153669.40465842508</v>
      </c>
      <c r="I67" s="80">
        <f>I51+I65</f>
        <v>161265.72341758205</v>
      </c>
      <c r="J67" s="80">
        <f>J51+J65</f>
        <v>169481.90178748622</v>
      </c>
      <c r="K67" s="80">
        <f>K51+K65</f>
        <v>178368.52031237457</v>
      </c>
      <c r="L67" s="28"/>
    </row>
    <row r="68" spans="2:12" ht="15.5" thickTop="1" thickBot="1" x14ac:dyDescent="0.4">
      <c r="B68" s="77"/>
      <c r="C68" s="78"/>
      <c r="D68" s="78"/>
      <c r="E68" s="79"/>
      <c r="F68" s="78"/>
      <c r="G68" s="78"/>
      <c r="H68" s="78"/>
      <c r="I68" s="78"/>
      <c r="J68" s="78"/>
      <c r="K68" s="78"/>
      <c r="L68" s="52"/>
    </row>
    <row r="69" spans="2:12" ht="15" thickBot="1" x14ac:dyDescent="0.4">
      <c r="B69" s="27" t="s">
        <v>92</v>
      </c>
      <c r="C69" s="80">
        <f>C67+C41</f>
        <v>345733.42</v>
      </c>
      <c r="D69" s="80">
        <f>D67+D41</f>
        <v>263492.45</v>
      </c>
      <c r="E69" s="81">
        <f>E67+E41</f>
        <v>300973.58999999997</v>
      </c>
      <c r="F69" s="80">
        <f>F67+F41</f>
        <v>349779.2475002369</v>
      </c>
      <c r="G69" s="80">
        <f>G67+G41</f>
        <v>393617.81123105716</v>
      </c>
      <c r="H69" s="80">
        <f>H67+H41</f>
        <v>446482.96041719575</v>
      </c>
      <c r="I69" s="80">
        <f>I67+I41</f>
        <v>503868.95030561223</v>
      </c>
      <c r="J69" s="80">
        <f>J67+J41</f>
        <v>565451.73085478449</v>
      </c>
      <c r="K69" s="80">
        <f>K67+K41</f>
        <v>631575.26449902612</v>
      </c>
      <c r="L69" s="28"/>
    </row>
    <row r="70" spans="2:12" ht="15" thickTop="1" x14ac:dyDescent="0.35">
      <c r="E70" s="49"/>
    </row>
    <row r="71" spans="2:12" x14ac:dyDescent="0.35">
      <c r="B71" s="4" t="s">
        <v>96</v>
      </c>
      <c r="C71" s="31">
        <f>C34-C69</f>
        <v>0</v>
      </c>
      <c r="D71" s="31">
        <f>D34-D69</f>
        <v>0</v>
      </c>
      <c r="E71" s="74">
        <f>E34-E69</f>
        <v>0</v>
      </c>
      <c r="F71" s="31">
        <f>F34-F69</f>
        <v>0</v>
      </c>
      <c r="G71" s="31">
        <f>G34-G69</f>
        <v>0</v>
      </c>
      <c r="H71" s="31">
        <f>H34-H69</f>
        <v>0</v>
      </c>
      <c r="I71" s="31">
        <f>I34-I69</f>
        <v>0</v>
      </c>
      <c r="J71" s="31">
        <f>J34-J69</f>
        <v>0</v>
      </c>
      <c r="K71" s="31">
        <f>K34-K69</f>
        <v>0</v>
      </c>
    </row>
    <row r="72" spans="2:12" x14ac:dyDescent="0.35">
      <c r="C72" s="9">
        <f>C58/C59</f>
        <v>2.1090856095924617E-2</v>
      </c>
      <c r="D72" s="9">
        <f>D58/D59</f>
        <v>2.9656577171644355E-2</v>
      </c>
      <c r="E72" s="65">
        <f>E58/E59</f>
        <v>2.6572020837380615E-2</v>
      </c>
      <c r="F72" s="10">
        <f>AVERAGE(C72:E72)</f>
        <v>2.5773151368316528E-2</v>
      </c>
      <c r="G72" s="10">
        <f>F72</f>
        <v>2.5773151368316528E-2</v>
      </c>
      <c r="H72" s="10">
        <f t="shared" ref="H72:K72" si="8">G72</f>
        <v>2.5773151368316528E-2</v>
      </c>
      <c r="I72" s="10">
        <f t="shared" si="8"/>
        <v>2.5773151368316528E-2</v>
      </c>
      <c r="J72" s="10">
        <f t="shared" si="8"/>
        <v>2.5773151368316528E-2</v>
      </c>
      <c r="K72" s="10">
        <f t="shared" si="8"/>
        <v>2.5773151368316528E-2</v>
      </c>
    </row>
    <row r="73" spans="2:12" x14ac:dyDescent="0.35">
      <c r="E73" s="49"/>
    </row>
    <row r="74" spans="2:12" x14ac:dyDescent="0.35">
      <c r="B74" s="53"/>
      <c r="C74" s="53"/>
      <c r="D74" s="53"/>
      <c r="E74" s="54"/>
      <c r="F74" s="53"/>
      <c r="G74" s="53"/>
      <c r="H74" s="53"/>
      <c r="I74" s="53"/>
      <c r="J74" s="53"/>
      <c r="K74" s="53"/>
      <c r="L74" s="53"/>
    </row>
    <row r="81" customFormat="1" x14ac:dyDescent="0.35"/>
  </sheetData>
  <sheetProtection algorithmName="SHA-512" hashValue="WNnbIswCp6JkFz/F8xES83Kn4LtiA+00SG+uKN4sv8NAfV21Oh/Wy7adsUf/6cQ9+MRKY5/+aKbJn2au31BJPg==" saltValue="jFWlqG46fc8DMxjrOiLgmQ==" spinCount="100000" sheet="1" objects="1" scenarios="1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C10-A52E-494F-BE23-36EFC410F9D8}">
  <dimension ref="A1:N82"/>
  <sheetViews>
    <sheetView workbookViewId="0">
      <pane ySplit="6" topLeftCell="A7" activePane="bottomLeft" state="frozen"/>
      <selection activeCell="B12" sqref="B12"/>
      <selection pane="bottomLeft" activeCell="B2" sqref="B2"/>
    </sheetView>
  </sheetViews>
  <sheetFormatPr defaultColWidth="0" defaultRowHeight="14.5" x14ac:dyDescent="0.35"/>
  <cols>
    <col min="1" max="1" width="1.81640625" customWidth="1"/>
    <col min="2" max="2" width="34.6328125" customWidth="1"/>
    <col min="3" max="11" width="8.7265625" customWidth="1"/>
    <col min="12" max="12" width="3.179687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12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x14ac:dyDescent="0.35">
      <c r="E7" s="49"/>
    </row>
    <row r="8" spans="1:12" x14ac:dyDescent="0.35">
      <c r="B8" t="s">
        <v>49</v>
      </c>
      <c r="C8" s="6">
        <f>IS!C9</f>
        <v>603075.80000000005</v>
      </c>
      <c r="D8" s="6">
        <f>IS!D9</f>
        <v>698290.57</v>
      </c>
      <c r="E8" s="66">
        <f>IS!E9</f>
        <v>691928.88</v>
      </c>
      <c r="F8" s="6">
        <f>IS!F9</f>
        <v>738960.49239869067</v>
      </c>
      <c r="G8" s="2">
        <f>IS!G9</f>
        <v>798254.74472242419</v>
      </c>
      <c r="H8" s="2">
        <f>IS!H9</f>
        <v>862387.4080357739</v>
      </c>
      <c r="I8" s="2">
        <f>IS!I9</f>
        <v>931753.29667549324</v>
      </c>
      <c r="J8" s="2">
        <f>IS!J9</f>
        <v>1006779.4418282135</v>
      </c>
      <c r="K8" s="2">
        <f>IS!K9</f>
        <v>1087927.720425396</v>
      </c>
    </row>
    <row r="9" spans="1:12" x14ac:dyDescent="0.35">
      <c r="B9" t="s">
        <v>130</v>
      </c>
      <c r="C9" s="6">
        <f>Expense!C11</f>
        <v>449827.03999999992</v>
      </c>
      <c r="D9" s="6">
        <f>Expense!D11</f>
        <v>515389.01</v>
      </c>
      <c r="E9" s="66">
        <f>Expense!E11</f>
        <v>499289.41</v>
      </c>
      <c r="F9" s="6">
        <f>Expense!F11</f>
        <v>532051.55452705722</v>
      </c>
      <c r="G9" s="2">
        <f>Expense!G11</f>
        <v>574743.41620014538</v>
      </c>
      <c r="H9" s="2">
        <f>Expense!H11</f>
        <v>620918.93378575717</v>
      </c>
      <c r="I9" s="2">
        <f>Expense!I11</f>
        <v>670862.37360635516</v>
      </c>
      <c r="J9" s="2">
        <f>Expense!J11</f>
        <v>724881.19811631367</v>
      </c>
      <c r="K9" s="2">
        <f>Expense!K11</f>
        <v>783307.95870628511</v>
      </c>
    </row>
    <row r="10" spans="1:12" ht="15" thickBot="1" x14ac:dyDescent="0.4">
      <c r="C10" s="2"/>
      <c r="D10" s="2"/>
      <c r="E10" s="50"/>
      <c r="F10" s="2"/>
      <c r="G10" s="2"/>
      <c r="H10" s="2"/>
      <c r="I10" s="2"/>
      <c r="J10" s="2"/>
      <c r="K10" s="2"/>
    </row>
    <row r="11" spans="1:12" ht="15" thickBot="1" x14ac:dyDescent="0.4">
      <c r="B11" s="27" t="s">
        <v>115</v>
      </c>
      <c r="C11" s="27"/>
      <c r="D11" s="27"/>
      <c r="E11" s="67"/>
      <c r="F11" s="27"/>
      <c r="G11" s="27"/>
      <c r="H11" s="27"/>
      <c r="I11" s="27"/>
      <c r="J11" s="27"/>
      <c r="K11" s="27"/>
      <c r="L11" s="27"/>
    </row>
    <row r="12" spans="1:12" ht="15" thickTop="1" x14ac:dyDescent="0.35">
      <c r="E12" s="49"/>
    </row>
    <row r="13" spans="1:12" x14ac:dyDescent="0.35">
      <c r="B13" t="s">
        <v>131</v>
      </c>
      <c r="E13" s="49"/>
      <c r="F13" s="2">
        <f>E16</f>
        <v>47183.61</v>
      </c>
      <c r="G13" s="2">
        <f t="shared" ref="G13:K13" si="1">F16</f>
        <v>22767.635453534327</v>
      </c>
      <c r="H13" s="2">
        <f t="shared" si="1"/>
        <v>24594.512445313056</v>
      </c>
      <c r="I13" s="2">
        <f t="shared" si="1"/>
        <v>26570.462599620907</v>
      </c>
      <c r="J13" s="2">
        <f t="shared" si="1"/>
        <v>28707.650286520293</v>
      </c>
      <c r="K13" s="2">
        <f t="shared" si="1"/>
        <v>31019.232488670663</v>
      </c>
    </row>
    <row r="14" spans="1:12" x14ac:dyDescent="0.35">
      <c r="B14" t="s">
        <v>107</v>
      </c>
      <c r="E14" s="49"/>
      <c r="F14" s="2">
        <f>F8*F29</f>
        <v>22767.635453534331</v>
      </c>
      <c r="G14" s="2">
        <f t="shared" ref="G14:K14" si="2">G8*G29</f>
        <v>24594.512445313056</v>
      </c>
      <c r="H14" s="2">
        <f t="shared" si="2"/>
        <v>26570.462599620911</v>
      </c>
      <c r="I14" s="2">
        <f t="shared" si="2"/>
        <v>28707.650286520293</v>
      </c>
      <c r="J14" s="2">
        <f t="shared" si="2"/>
        <v>31019.232488670663</v>
      </c>
      <c r="K14" s="2">
        <f t="shared" si="2"/>
        <v>33519.439798516512</v>
      </c>
    </row>
    <row r="15" spans="1:12" x14ac:dyDescent="0.35">
      <c r="B15" t="s">
        <v>132</v>
      </c>
      <c r="E15" s="49"/>
      <c r="F15" s="2">
        <f>-F13</f>
        <v>-47183.61</v>
      </c>
      <c r="G15" s="2">
        <f t="shared" ref="G15:K15" si="3">-G13</f>
        <v>-22767.635453534327</v>
      </c>
      <c r="H15" s="2">
        <f t="shared" si="3"/>
        <v>-24594.512445313056</v>
      </c>
      <c r="I15" s="2">
        <f t="shared" si="3"/>
        <v>-26570.462599620907</v>
      </c>
      <c r="J15" s="2">
        <f t="shared" si="3"/>
        <v>-28707.650286520293</v>
      </c>
      <c r="K15" s="2">
        <f t="shared" si="3"/>
        <v>-31019.232488670663</v>
      </c>
    </row>
    <row r="16" spans="1:12" x14ac:dyDescent="0.35">
      <c r="B16" t="s">
        <v>133</v>
      </c>
      <c r="C16" s="8">
        <v>13366.35</v>
      </c>
      <c r="D16" s="8">
        <v>6528.42</v>
      </c>
      <c r="E16" s="68">
        <v>47183.61</v>
      </c>
      <c r="F16" s="2">
        <f>SUM(F13:F15)</f>
        <v>22767.635453534327</v>
      </c>
      <c r="G16" s="2">
        <f t="shared" ref="G16:K16" si="4">SUM(G13:G15)</f>
        <v>24594.512445313056</v>
      </c>
      <c r="H16" s="2">
        <f t="shared" si="4"/>
        <v>26570.462599620907</v>
      </c>
      <c r="I16" s="2">
        <f t="shared" si="4"/>
        <v>28707.650286520293</v>
      </c>
      <c r="J16" s="2">
        <f t="shared" si="4"/>
        <v>31019.232488670663</v>
      </c>
      <c r="K16" s="2">
        <f t="shared" si="4"/>
        <v>33519.439798516512</v>
      </c>
    </row>
    <row r="17" spans="2:11" x14ac:dyDescent="0.35">
      <c r="E17" s="49"/>
    </row>
    <row r="18" spans="2:11" x14ac:dyDescent="0.35">
      <c r="E18" s="49"/>
    </row>
    <row r="19" spans="2:11" x14ac:dyDescent="0.35">
      <c r="B19" t="s">
        <v>97</v>
      </c>
      <c r="E19" s="49"/>
      <c r="F19" s="11">
        <v>226007.44</v>
      </c>
      <c r="G19" s="11">
        <f>F21</f>
        <v>273191.05</v>
      </c>
      <c r="H19" s="11">
        <f t="shared" ref="H19:K19" si="5">G21</f>
        <v>295958.6854535343</v>
      </c>
      <c r="I19" s="11">
        <f t="shared" si="5"/>
        <v>320553.19789884734</v>
      </c>
      <c r="J19" s="11">
        <f t="shared" si="5"/>
        <v>347123.66049846826</v>
      </c>
      <c r="K19" s="11">
        <f t="shared" si="5"/>
        <v>375831.31078498857</v>
      </c>
    </row>
    <row r="20" spans="2:11" x14ac:dyDescent="0.35">
      <c r="B20" t="s">
        <v>98</v>
      </c>
      <c r="C20" s="8">
        <v>15844.36</v>
      </c>
      <c r="D20" s="8">
        <v>30394.55</v>
      </c>
      <c r="E20" s="68">
        <v>15659.32</v>
      </c>
      <c r="F20" s="35">
        <f>ABS(F15)</f>
        <v>47183.61</v>
      </c>
      <c r="G20" s="35">
        <f t="shared" ref="G20:K20" si="6">ABS(G15)</f>
        <v>22767.635453534327</v>
      </c>
      <c r="H20" s="35">
        <f t="shared" si="6"/>
        <v>24594.512445313056</v>
      </c>
      <c r="I20" s="35">
        <f t="shared" si="6"/>
        <v>26570.462599620907</v>
      </c>
      <c r="J20" s="35">
        <f t="shared" si="6"/>
        <v>28707.650286520293</v>
      </c>
      <c r="K20" s="35">
        <f t="shared" si="6"/>
        <v>31019.232488670663</v>
      </c>
    </row>
    <row r="21" spans="2:11" x14ac:dyDescent="0.35">
      <c r="B21" t="s">
        <v>99</v>
      </c>
      <c r="C21" s="8">
        <v>182751.51</v>
      </c>
      <c r="D21" s="6">
        <v>211986.7</v>
      </c>
      <c r="E21" s="68">
        <v>226007.44</v>
      </c>
      <c r="F21" s="11">
        <f>SUM(F19:F20)</f>
        <v>273191.05</v>
      </c>
      <c r="G21" s="11">
        <f t="shared" ref="G21:K21" si="7">SUM(G19:G20)</f>
        <v>295958.6854535343</v>
      </c>
      <c r="H21" s="11">
        <f t="shared" si="7"/>
        <v>320553.19789884734</v>
      </c>
      <c r="I21" s="11">
        <f t="shared" si="7"/>
        <v>347123.66049846826</v>
      </c>
      <c r="J21" s="11">
        <f t="shared" si="7"/>
        <v>375831.31078498857</v>
      </c>
      <c r="K21" s="11">
        <f t="shared" si="7"/>
        <v>406850.54327365925</v>
      </c>
    </row>
    <row r="22" spans="2:11" x14ac:dyDescent="0.35">
      <c r="C22" s="7"/>
      <c r="D22" s="6"/>
      <c r="E22" s="69"/>
    </row>
    <row r="23" spans="2:11" x14ac:dyDescent="0.35">
      <c r="B23" t="s">
        <v>100</v>
      </c>
      <c r="C23" s="7"/>
      <c r="D23" s="6"/>
      <c r="E23" s="69"/>
      <c r="F23" s="11">
        <f>E25</f>
        <v>163099.9</v>
      </c>
      <c r="G23" s="11">
        <f t="shared" ref="G23:K23" si="8">F25</f>
        <v>185563.83205</v>
      </c>
      <c r="H23" s="11">
        <f t="shared" si="8"/>
        <v>211175.57014540903</v>
      </c>
      <c r="I23" s="11">
        <f t="shared" si="8"/>
        <v>238918.60489626619</v>
      </c>
      <c r="J23" s="11">
        <f t="shared" si="8"/>
        <v>268964.0635241454</v>
      </c>
      <c r="K23" s="11">
        <f t="shared" si="8"/>
        <v>301497.03723190096</v>
      </c>
    </row>
    <row r="24" spans="2:11" x14ac:dyDescent="0.35">
      <c r="B24" t="s">
        <v>101</v>
      </c>
      <c r="C24" s="6">
        <v>20312.12</v>
      </c>
      <c r="D24" s="6">
        <v>20840.080000000002</v>
      </c>
      <c r="E24" s="66">
        <v>19767.990000000002</v>
      </c>
      <c r="F24" s="35">
        <f t="shared" ref="F24:K24" si="9">AVERAGE(E21:F21)*F30</f>
        <v>22463.932049999999</v>
      </c>
      <c r="G24" s="35">
        <f t="shared" si="9"/>
        <v>25611.73809540904</v>
      </c>
      <c r="H24" s="35">
        <f t="shared" si="9"/>
        <v>27743.034750857172</v>
      </c>
      <c r="I24" s="35">
        <f t="shared" si="9"/>
        <v>30045.458627879201</v>
      </c>
      <c r="J24" s="35">
        <f t="shared" si="9"/>
        <v>32532.973707755555</v>
      </c>
      <c r="K24" s="35">
        <f t="shared" si="9"/>
        <v>35220.683432639147</v>
      </c>
    </row>
    <row r="25" spans="2:11" x14ac:dyDescent="0.35">
      <c r="B25" t="s">
        <v>102</v>
      </c>
      <c r="C25" s="8">
        <v>125095.15</v>
      </c>
      <c r="D25" s="6">
        <v>144851.10999999999</v>
      </c>
      <c r="E25" s="68">
        <v>163099.9</v>
      </c>
      <c r="F25" s="11">
        <f>SUM(F23:F24)</f>
        <v>185563.83205</v>
      </c>
      <c r="G25" s="11">
        <f t="shared" ref="G25:K25" si="10">SUM(G23:G24)</f>
        <v>211175.57014540903</v>
      </c>
      <c r="H25" s="11">
        <f t="shared" si="10"/>
        <v>238918.60489626619</v>
      </c>
      <c r="I25" s="11">
        <f t="shared" si="10"/>
        <v>268964.0635241454</v>
      </c>
      <c r="J25" s="11">
        <f t="shared" si="10"/>
        <v>301497.03723190096</v>
      </c>
      <c r="K25" s="11">
        <f t="shared" si="10"/>
        <v>336717.72066454013</v>
      </c>
    </row>
    <row r="26" spans="2:11" x14ac:dyDescent="0.35">
      <c r="E26" s="49"/>
    </row>
    <row r="27" spans="2:11" x14ac:dyDescent="0.35">
      <c r="B27" t="s">
        <v>103</v>
      </c>
      <c r="D27" s="2"/>
      <c r="E27" s="50"/>
      <c r="F27" s="2">
        <f t="shared" ref="F27:K27" si="11">F21-F25</f>
        <v>87627.217949999991</v>
      </c>
      <c r="G27" s="2">
        <f t="shared" si="11"/>
        <v>84783.115308125271</v>
      </c>
      <c r="H27" s="2">
        <f t="shared" si="11"/>
        <v>81634.593002581154</v>
      </c>
      <c r="I27" s="2">
        <f t="shared" si="11"/>
        <v>78159.596974322863</v>
      </c>
      <c r="J27" s="2">
        <f t="shared" si="11"/>
        <v>74334.273553087609</v>
      </c>
      <c r="K27" s="2">
        <f t="shared" si="11"/>
        <v>70132.822609119117</v>
      </c>
    </row>
    <row r="28" spans="2:11" x14ac:dyDescent="0.35">
      <c r="E28" s="49"/>
    </row>
    <row r="29" spans="2:11" x14ac:dyDescent="0.35">
      <c r="B29" t="s">
        <v>104</v>
      </c>
      <c r="C29" s="15">
        <f t="shared" ref="C29:E29" si="12">C20/C8</f>
        <v>2.6272584640272417E-2</v>
      </c>
      <c r="D29" s="15">
        <f t="shared" si="12"/>
        <v>4.3527080710827872E-2</v>
      </c>
      <c r="E29" s="51">
        <f t="shared" si="12"/>
        <v>2.2631401076943052E-2</v>
      </c>
      <c r="F29" s="30">
        <f>AVERAGE($C29:$E29)</f>
        <v>3.0810355476014444E-2</v>
      </c>
      <c r="G29" s="30">
        <f>AVERAGE($C29:$E29)</f>
        <v>3.0810355476014444E-2</v>
      </c>
      <c r="H29" s="30">
        <f>AVERAGE($C29:$E29)</f>
        <v>3.0810355476014444E-2</v>
      </c>
      <c r="I29" s="30">
        <f>AVERAGE($C29:$E29)</f>
        <v>3.0810355476014444E-2</v>
      </c>
      <c r="J29" s="30">
        <f>AVERAGE($C29:$E29)</f>
        <v>3.0810355476014444E-2</v>
      </c>
      <c r="K29" s="30">
        <f>AVERAGE($C29:$E29)</f>
        <v>3.0810355476014444E-2</v>
      </c>
    </row>
    <row r="30" spans="2:11" x14ac:dyDescent="0.35">
      <c r="B30" t="s">
        <v>105</v>
      </c>
      <c r="C30" s="15">
        <f>C24/AVERAGE(C21:C21)</f>
        <v>0.11114611310188352</v>
      </c>
      <c r="D30" s="15">
        <f>D24/AVERAGE(C21:D21)</f>
        <v>0.10558937276429359</v>
      </c>
      <c r="E30" s="51">
        <f>E24/AVERAGE(D21:E21)</f>
        <v>9.0266002188979066E-2</v>
      </c>
      <c r="F30" s="37">
        <f>9%</f>
        <v>0.09</v>
      </c>
      <c r="G30" s="37">
        <f>9%</f>
        <v>0.09</v>
      </c>
      <c r="H30" s="37">
        <f>9%</f>
        <v>0.09</v>
      </c>
      <c r="I30" s="37">
        <f>9%</f>
        <v>0.09</v>
      </c>
      <c r="J30" s="37">
        <f>9%</f>
        <v>0.09</v>
      </c>
      <c r="K30" s="37">
        <f>9%</f>
        <v>0.09</v>
      </c>
    </row>
    <row r="31" spans="2:11" x14ac:dyDescent="0.35">
      <c r="E31" s="49"/>
    </row>
    <row r="32" spans="2:11" ht="15" thickBot="1" x14ac:dyDescent="0.4">
      <c r="E32" s="49"/>
    </row>
    <row r="33" spans="2:12" ht="15" thickBot="1" x14ac:dyDescent="0.4">
      <c r="B33" s="27" t="s">
        <v>114</v>
      </c>
      <c r="C33" s="27"/>
      <c r="D33" s="27"/>
      <c r="E33" s="67"/>
      <c r="F33" s="27"/>
      <c r="G33" s="27"/>
      <c r="H33" s="27"/>
      <c r="I33" s="27"/>
      <c r="J33" s="27"/>
      <c r="K33" s="27"/>
      <c r="L33" s="27"/>
    </row>
    <row r="34" spans="2:12" ht="15" thickTop="1" x14ac:dyDescent="0.35">
      <c r="E34" s="49"/>
    </row>
    <row r="35" spans="2:12" x14ac:dyDescent="0.35">
      <c r="B35" t="s">
        <v>106</v>
      </c>
      <c r="C35" s="2"/>
      <c r="D35" s="2"/>
      <c r="E35" s="50"/>
      <c r="F35" s="2">
        <f>E37</f>
        <v>13892.77</v>
      </c>
      <c r="G35" s="2">
        <f t="shared" ref="G35:K35" si="13">F37</f>
        <v>14653.580238411534</v>
      </c>
      <c r="H35" s="2">
        <f t="shared" si="13"/>
        <v>15475.437954612333</v>
      </c>
      <c r="I35" s="2">
        <f t="shared" si="13"/>
        <v>16363.32462279</v>
      </c>
      <c r="J35" s="2">
        <f t="shared" si="13"/>
        <v>16363.32462279</v>
      </c>
      <c r="K35" s="2">
        <f t="shared" si="13"/>
        <v>16363.32462279</v>
      </c>
    </row>
    <row r="36" spans="2:12" x14ac:dyDescent="0.35">
      <c r="B36" t="s">
        <v>107</v>
      </c>
      <c r="C36" s="6">
        <v>1016.97</v>
      </c>
      <c r="D36" s="38">
        <v>696.95</v>
      </c>
      <c r="E36" s="70">
        <v>279.76</v>
      </c>
      <c r="F36" s="35">
        <f>F8*F45</f>
        <v>760.81023841153353</v>
      </c>
      <c r="G36" s="35">
        <f>G8*G45</f>
        <v>821.85771620079845</v>
      </c>
      <c r="H36" s="35">
        <f>H8*H45</f>
        <v>887.88666817766693</v>
      </c>
      <c r="I36" s="35">
        <v>0</v>
      </c>
      <c r="J36" s="35">
        <v>0</v>
      </c>
      <c r="K36" s="35">
        <v>0</v>
      </c>
    </row>
    <row r="37" spans="2:12" x14ac:dyDescent="0.35">
      <c r="B37" t="s">
        <v>108</v>
      </c>
      <c r="C37" s="6">
        <v>13051.25</v>
      </c>
      <c r="D37" s="38">
        <v>13748.2</v>
      </c>
      <c r="E37" s="70">
        <v>13892.77</v>
      </c>
      <c r="F37" s="2">
        <f>SUM(F35:F36)</f>
        <v>14653.580238411534</v>
      </c>
      <c r="G37" s="2">
        <f t="shared" ref="G37:K37" si="14">SUM(G35:G36)</f>
        <v>15475.437954612333</v>
      </c>
      <c r="H37" s="2">
        <f t="shared" si="14"/>
        <v>16363.32462279</v>
      </c>
      <c r="I37" s="2">
        <f t="shared" si="14"/>
        <v>16363.32462279</v>
      </c>
      <c r="J37" s="2">
        <f t="shared" si="14"/>
        <v>16363.32462279</v>
      </c>
      <c r="K37" s="2">
        <f t="shared" si="14"/>
        <v>16363.32462279</v>
      </c>
    </row>
    <row r="38" spans="2:12" x14ac:dyDescent="0.35">
      <c r="C38" s="6"/>
      <c r="D38" s="38"/>
      <c r="E38" s="70"/>
      <c r="F38" s="2"/>
      <c r="G38" s="2"/>
      <c r="H38" s="2"/>
      <c r="I38" s="2"/>
      <c r="J38" s="2"/>
      <c r="K38" s="2"/>
    </row>
    <row r="39" spans="2:12" x14ac:dyDescent="0.35">
      <c r="B39" t="s">
        <v>109</v>
      </c>
      <c r="C39" s="6"/>
      <c r="D39" s="38"/>
      <c r="E39" s="70"/>
      <c r="F39" s="2">
        <f>E41</f>
        <v>11941.76</v>
      </c>
      <c r="G39" s="2">
        <f t="shared" ref="G39:K39" si="15">F41</f>
        <v>13083.614009536461</v>
      </c>
      <c r="H39" s="2">
        <f t="shared" si="15"/>
        <v>14271.614009536461</v>
      </c>
      <c r="I39" s="2">
        <f t="shared" si="15"/>
        <v>15515.614009536461</v>
      </c>
      <c r="J39" s="2">
        <f t="shared" si="15"/>
        <v>15515.614009536461</v>
      </c>
      <c r="K39" s="2">
        <f t="shared" si="15"/>
        <v>15515.614009536461</v>
      </c>
    </row>
    <row r="40" spans="2:12" x14ac:dyDescent="0.35">
      <c r="B40" t="s">
        <v>113</v>
      </c>
      <c r="C40" s="6">
        <v>1501.34</v>
      </c>
      <c r="D40" s="38">
        <v>1142.01</v>
      </c>
      <c r="E40" s="70">
        <v>1154.01</v>
      </c>
      <c r="F40" s="35">
        <f>AVERAGE(E37:F37)*F46</f>
        <v>1141.8540095364615</v>
      </c>
      <c r="G40" s="35">
        <v>1188</v>
      </c>
      <c r="H40" s="35">
        <v>1244</v>
      </c>
      <c r="I40" s="35">
        <v>0</v>
      </c>
      <c r="J40" s="35">
        <v>0</v>
      </c>
      <c r="K40" s="35">
        <v>0</v>
      </c>
    </row>
    <row r="41" spans="2:12" x14ac:dyDescent="0.35">
      <c r="B41" t="s">
        <v>110</v>
      </c>
      <c r="C41" s="6">
        <v>9780.93</v>
      </c>
      <c r="D41" s="38">
        <v>10922.94</v>
      </c>
      <c r="E41" s="70">
        <v>11941.76</v>
      </c>
      <c r="F41" s="2">
        <f>SUM(F39:F40)</f>
        <v>13083.614009536461</v>
      </c>
      <c r="G41" s="2">
        <f t="shared" ref="G41:K41" si="16">SUM(G39:G40)</f>
        <v>14271.614009536461</v>
      </c>
      <c r="H41" s="2">
        <f t="shared" si="16"/>
        <v>15515.614009536461</v>
      </c>
      <c r="I41" s="2">
        <f t="shared" si="16"/>
        <v>15515.614009536461</v>
      </c>
      <c r="J41" s="2">
        <f t="shared" si="16"/>
        <v>15515.614009536461</v>
      </c>
      <c r="K41" s="2">
        <f t="shared" si="16"/>
        <v>15515.614009536461</v>
      </c>
    </row>
    <row r="42" spans="2:12" x14ac:dyDescent="0.35">
      <c r="C42" s="2"/>
      <c r="D42" s="2"/>
      <c r="E42" s="50"/>
      <c r="F42" s="2"/>
      <c r="G42" s="2"/>
      <c r="H42" s="2"/>
      <c r="I42" s="2"/>
      <c r="J42" s="2"/>
      <c r="K42" s="2"/>
    </row>
    <row r="43" spans="2:12" x14ac:dyDescent="0.35">
      <c r="B43" t="s">
        <v>111</v>
      </c>
      <c r="C43" s="6">
        <f t="shared" ref="C43:D43" si="17">C37-C41</f>
        <v>3270.3199999999997</v>
      </c>
      <c r="D43" s="6">
        <f t="shared" si="17"/>
        <v>2825.26</v>
      </c>
      <c r="E43" s="66">
        <f>E37-E41</f>
        <v>1951.0100000000002</v>
      </c>
      <c r="F43" s="2">
        <f t="shared" ref="F43:K43" si="18">F37-F41</f>
        <v>1569.9662288750733</v>
      </c>
      <c r="G43" s="2">
        <f t="shared" si="18"/>
        <v>1203.823945075872</v>
      </c>
      <c r="H43" s="2">
        <f t="shared" si="18"/>
        <v>847.71061325353912</v>
      </c>
      <c r="I43" s="2">
        <f t="shared" si="18"/>
        <v>847.71061325353912</v>
      </c>
      <c r="J43" s="2">
        <f t="shared" si="18"/>
        <v>847.71061325353912</v>
      </c>
      <c r="K43" s="2">
        <f t="shared" si="18"/>
        <v>847.71061325353912</v>
      </c>
    </row>
    <row r="44" spans="2:12" x14ac:dyDescent="0.35">
      <c r="E44" s="71"/>
    </row>
    <row r="45" spans="2:12" x14ac:dyDescent="0.35">
      <c r="B45" t="s">
        <v>112</v>
      </c>
      <c r="C45" s="15">
        <f>C36/C8</f>
        <v>1.6863054362320623E-3</v>
      </c>
      <c r="D45" s="15">
        <f>D36/D8</f>
        <v>9.980802117949268E-4</v>
      </c>
      <c r="E45" s="51">
        <f>E36/E8</f>
        <v>4.0431901035840558E-4</v>
      </c>
      <c r="F45" s="30">
        <f>AVERAGE($C45:$E45)</f>
        <v>1.0295682194617981E-3</v>
      </c>
      <c r="G45" s="30">
        <f>AVERAGE($C45:$E45)</f>
        <v>1.0295682194617981E-3</v>
      </c>
      <c r="H45" s="30">
        <f>AVERAGE($C45:$E45)</f>
        <v>1.0295682194617981E-3</v>
      </c>
      <c r="I45" s="30">
        <f>AVERAGE($C45:$E45)</f>
        <v>1.0295682194617981E-3</v>
      </c>
      <c r="J45" s="30">
        <f>AVERAGE($C45:$E45)</f>
        <v>1.0295682194617981E-3</v>
      </c>
      <c r="K45" s="30">
        <f t="shared" ref="K45" si="19">J45</f>
        <v>1.0295682194617981E-3</v>
      </c>
    </row>
    <row r="46" spans="2:12" x14ac:dyDescent="0.35">
      <c r="B46" t="s">
        <v>213</v>
      </c>
      <c r="C46" s="9">
        <f>C40/AVERAGE(C37:C37)</f>
        <v>0.11503419212719088</v>
      </c>
      <c r="D46" s="9">
        <f>D40/AVERAGE(C37:D37)</f>
        <v>8.522637591443108E-2</v>
      </c>
      <c r="E46" s="72">
        <f>E40/AVERAGE(D37:E37)</f>
        <v>8.3499964002710467E-2</v>
      </c>
      <c r="F46" s="36">
        <v>0.08</v>
      </c>
      <c r="G46" s="36">
        <v>0.08</v>
      </c>
      <c r="H46" s="36">
        <v>0.08</v>
      </c>
      <c r="I46" s="36">
        <v>0.08</v>
      </c>
      <c r="J46" s="36">
        <v>0.08</v>
      </c>
      <c r="K46" s="36">
        <v>0.08</v>
      </c>
    </row>
    <row r="47" spans="2:12" ht="15" thickBot="1" x14ac:dyDescent="0.4">
      <c r="E47" s="49"/>
    </row>
    <row r="48" spans="2:12" ht="15" thickBot="1" x14ac:dyDescent="0.4">
      <c r="B48" s="27" t="s">
        <v>116</v>
      </c>
      <c r="C48" s="27"/>
      <c r="D48" s="27"/>
      <c r="E48" s="67"/>
      <c r="F48" s="27"/>
      <c r="G48" s="27"/>
      <c r="H48" s="27"/>
      <c r="I48" s="27"/>
      <c r="J48" s="27"/>
      <c r="K48" s="27"/>
      <c r="L48" s="27"/>
    </row>
    <row r="49" spans="2:11" ht="15" thickTop="1" x14ac:dyDescent="0.35">
      <c r="E49" s="49"/>
    </row>
    <row r="50" spans="2:11" x14ac:dyDescent="0.35">
      <c r="B50" t="s">
        <v>117</v>
      </c>
      <c r="C50" s="6"/>
      <c r="D50" s="6"/>
      <c r="E50" s="66"/>
      <c r="F50" s="2">
        <f>E52</f>
        <v>7031.93</v>
      </c>
      <c r="G50" s="2">
        <f t="shared" ref="G50:K50" si="20">F52</f>
        <v>9124.1512840442829</v>
      </c>
      <c r="H50" s="2">
        <f t="shared" si="20"/>
        <v>11384.252580632288</v>
      </c>
      <c r="I50" s="2">
        <f t="shared" si="20"/>
        <v>13825.932898787582</v>
      </c>
      <c r="J50" s="2">
        <f t="shared" si="20"/>
        <v>16464.009086670056</v>
      </c>
      <c r="K50" s="2">
        <f t="shared" si="20"/>
        <v>19314.507047249448</v>
      </c>
    </row>
    <row r="51" spans="2:11" x14ac:dyDescent="0.35">
      <c r="B51" t="s">
        <v>98</v>
      </c>
      <c r="C51" s="6">
        <v>0.11</v>
      </c>
      <c r="D51" s="6">
        <v>5720.36</v>
      </c>
      <c r="E51" s="66">
        <v>208.81</v>
      </c>
      <c r="F51" s="2">
        <f t="shared" ref="F51:K51" si="21">F61*F8</f>
        <v>2092.2212840442821</v>
      </c>
      <c r="G51" s="2">
        <f t="shared" si="21"/>
        <v>2260.1012965880045</v>
      </c>
      <c r="H51" s="2">
        <f t="shared" si="21"/>
        <v>2441.6803181552932</v>
      </c>
      <c r="I51" s="2">
        <f t="shared" si="21"/>
        <v>2638.0761878824737</v>
      </c>
      <c r="J51" s="2">
        <f t="shared" si="21"/>
        <v>2850.4979605793915</v>
      </c>
      <c r="K51" s="2">
        <f t="shared" si="21"/>
        <v>3080.2533499283782</v>
      </c>
    </row>
    <row r="52" spans="2:11" x14ac:dyDescent="0.35">
      <c r="B52" t="s">
        <v>99</v>
      </c>
      <c r="C52" s="6">
        <v>1102.76</v>
      </c>
      <c r="D52" s="6">
        <v>6823.12</v>
      </c>
      <c r="E52" s="66">
        <v>7031.93</v>
      </c>
      <c r="F52" s="2">
        <f>SUM(F50:F51)</f>
        <v>9124.1512840442829</v>
      </c>
      <c r="G52" s="2">
        <f t="shared" ref="G52:K52" si="22">SUM(G50:G51)</f>
        <v>11384.252580632288</v>
      </c>
      <c r="H52" s="2">
        <f t="shared" si="22"/>
        <v>13825.932898787582</v>
      </c>
      <c r="I52" s="2">
        <f t="shared" si="22"/>
        <v>16464.009086670056</v>
      </c>
      <c r="J52" s="2">
        <f t="shared" si="22"/>
        <v>19314.507047249448</v>
      </c>
      <c r="K52" s="2">
        <f t="shared" si="22"/>
        <v>22394.760397177826</v>
      </c>
    </row>
    <row r="53" spans="2:11" x14ac:dyDescent="0.35">
      <c r="C53" s="6"/>
      <c r="D53" s="6"/>
      <c r="E53" s="66"/>
      <c r="F53" s="2"/>
      <c r="G53" s="2"/>
      <c r="H53" s="2"/>
      <c r="I53" s="2"/>
      <c r="J53" s="2"/>
      <c r="K53" s="2"/>
    </row>
    <row r="54" spans="2:11" x14ac:dyDescent="0.35">
      <c r="B54" t="s">
        <v>100</v>
      </c>
      <c r="C54" s="6"/>
      <c r="D54" s="6"/>
      <c r="E54" s="66"/>
      <c r="F54" s="2">
        <f>E56</f>
        <v>839.43</v>
      </c>
      <c r="G54" s="2">
        <f t="shared" ref="G54:K54" si="23">F56</f>
        <v>1202.9418288909962</v>
      </c>
      <c r="H54" s="2">
        <f t="shared" si="23"/>
        <v>1664.3809158462191</v>
      </c>
      <c r="I54" s="2">
        <f t="shared" si="23"/>
        <v>2231.6100891331662</v>
      </c>
      <c r="J54" s="2">
        <f t="shared" si="23"/>
        <v>2913.133783805963</v>
      </c>
      <c r="K54" s="2">
        <f t="shared" si="23"/>
        <v>3718.1503968191519</v>
      </c>
    </row>
    <row r="55" spans="2:11" x14ac:dyDescent="0.35">
      <c r="B55" t="s">
        <v>101</v>
      </c>
      <c r="C55" s="6">
        <v>85.2</v>
      </c>
      <c r="D55" s="6">
        <v>114.59</v>
      </c>
      <c r="E55" s="66">
        <v>199.73</v>
      </c>
      <c r="F55" s="2">
        <f>AVERAGE(E52:F52)*F63</f>
        <v>363.51182889099636</v>
      </c>
      <c r="G55" s="2">
        <f t="shared" ref="G55:K55" si="24">AVERAGE(F52:G52)*G63</f>
        <v>461.43908695522282</v>
      </c>
      <c r="H55" s="2">
        <f t="shared" si="24"/>
        <v>567.229173286947</v>
      </c>
      <c r="I55" s="2">
        <f t="shared" si="24"/>
        <v>681.52369467279686</v>
      </c>
      <c r="J55" s="2">
        <f t="shared" si="24"/>
        <v>805.01661301318882</v>
      </c>
      <c r="K55" s="2">
        <f t="shared" si="24"/>
        <v>938.45851749961355</v>
      </c>
    </row>
    <row r="56" spans="2:11" x14ac:dyDescent="0.35">
      <c r="B56" t="s">
        <v>118</v>
      </c>
      <c r="C56" s="6">
        <v>525.11</v>
      </c>
      <c r="D56" s="6">
        <v>639.70000000000005</v>
      </c>
      <c r="E56" s="66">
        <v>839.43</v>
      </c>
      <c r="F56" s="2">
        <f>SUM(F54:F55)</f>
        <v>1202.9418288909962</v>
      </c>
      <c r="G56" s="2">
        <f t="shared" ref="G56:K56" si="25">SUM(G54:G55)</f>
        <v>1664.3809158462191</v>
      </c>
      <c r="H56" s="2">
        <f t="shared" si="25"/>
        <v>2231.6100891331662</v>
      </c>
      <c r="I56" s="2">
        <f t="shared" si="25"/>
        <v>2913.133783805963</v>
      </c>
      <c r="J56" s="2">
        <f t="shared" si="25"/>
        <v>3718.1503968191519</v>
      </c>
      <c r="K56" s="2">
        <f t="shared" si="25"/>
        <v>4656.6089143187655</v>
      </c>
    </row>
    <row r="57" spans="2:11" x14ac:dyDescent="0.35">
      <c r="C57" s="6"/>
      <c r="D57" s="6"/>
      <c r="E57" s="66"/>
      <c r="F57" s="2"/>
      <c r="G57" s="2"/>
      <c r="H57" s="2"/>
      <c r="I57" s="2"/>
      <c r="J57" s="2"/>
      <c r="K57" s="2"/>
    </row>
    <row r="58" spans="2:11" x14ac:dyDescent="0.35">
      <c r="B58" t="s">
        <v>103</v>
      </c>
      <c r="C58" s="6">
        <f>C52-C56</f>
        <v>577.65</v>
      </c>
      <c r="D58" s="6">
        <f>D52-D56</f>
        <v>6183.42</v>
      </c>
      <c r="E58" s="66">
        <f>E52-E56</f>
        <v>6192.5</v>
      </c>
      <c r="F58" s="2">
        <f t="shared" ref="F58:K58" si="26">F52-F56</f>
        <v>7921.2094551532864</v>
      </c>
      <c r="G58" s="2">
        <f t="shared" si="26"/>
        <v>9719.8716647860692</v>
      </c>
      <c r="H58" s="2">
        <f t="shared" si="26"/>
        <v>11594.322809654415</v>
      </c>
      <c r="I58" s="2">
        <f t="shared" si="26"/>
        <v>13550.875302864093</v>
      </c>
      <c r="J58" s="2">
        <f t="shared" si="26"/>
        <v>15596.356650430296</v>
      </c>
      <c r="K58" s="2">
        <f t="shared" si="26"/>
        <v>17738.151482859059</v>
      </c>
    </row>
    <row r="59" spans="2:11" x14ac:dyDescent="0.35">
      <c r="E59" s="49"/>
    </row>
    <row r="60" spans="2:11" x14ac:dyDescent="0.35">
      <c r="E60" s="49"/>
    </row>
    <row r="61" spans="2:11" x14ac:dyDescent="0.35">
      <c r="B61" t="s">
        <v>119</v>
      </c>
      <c r="C61" s="9">
        <f>C51/C8</f>
        <v>1.823982988539749E-7</v>
      </c>
      <c r="D61" s="9">
        <f>D51/D8</f>
        <v>8.1919479451082952E-3</v>
      </c>
      <c r="E61" s="65">
        <f>E51/E8</f>
        <v>3.0177957017779052E-4</v>
      </c>
      <c r="F61" s="40">
        <f>AVERAGE(C61:E61)</f>
        <v>2.831303304528313E-3</v>
      </c>
      <c r="G61" s="40">
        <f>F61</f>
        <v>2.831303304528313E-3</v>
      </c>
      <c r="H61" s="40">
        <f t="shared" ref="H61:K61" si="27">G61</f>
        <v>2.831303304528313E-3</v>
      </c>
      <c r="I61" s="40">
        <f t="shared" si="27"/>
        <v>2.831303304528313E-3</v>
      </c>
      <c r="J61" s="40">
        <f t="shared" si="27"/>
        <v>2.831303304528313E-3</v>
      </c>
      <c r="K61" s="40">
        <f t="shared" si="27"/>
        <v>2.831303304528313E-3</v>
      </c>
    </row>
    <row r="62" spans="2:11" x14ac:dyDescent="0.35">
      <c r="E62" s="49"/>
      <c r="F62" s="24"/>
      <c r="G62" s="24"/>
      <c r="H62" s="24"/>
      <c r="I62" s="24"/>
      <c r="J62" s="24"/>
      <c r="K62" s="24"/>
    </row>
    <row r="63" spans="2:11" x14ac:dyDescent="0.35">
      <c r="B63" t="s">
        <v>105</v>
      </c>
      <c r="C63" s="9">
        <f>C55/AVERAGE(C52:C52)</f>
        <v>7.7260691356233452E-2</v>
      </c>
      <c r="D63" s="9">
        <f t="shared" ref="D63" si="28">D55/AVERAGE(C52:D52)</f>
        <v>2.891540119204429E-2</v>
      </c>
      <c r="E63" s="65">
        <f>E55/AVERAGE(D52:E52)</f>
        <v>2.8831364737045336E-2</v>
      </c>
      <c r="F63" s="40">
        <v>4.4999999999999998E-2</v>
      </c>
      <c r="G63" s="40">
        <v>4.4999999999999998E-2</v>
      </c>
      <c r="H63" s="40">
        <v>4.4999999999999998E-2</v>
      </c>
      <c r="I63" s="40">
        <v>4.4999999999999998E-2</v>
      </c>
      <c r="J63" s="40">
        <v>4.4999999999999998E-2</v>
      </c>
      <c r="K63" s="40">
        <v>4.4999999999999998E-2</v>
      </c>
    </row>
    <row r="64" spans="2:11" x14ac:dyDescent="0.35">
      <c r="E64" s="49"/>
    </row>
    <row r="65" spans="2:12" x14ac:dyDescent="0.35">
      <c r="E65" s="49"/>
    </row>
    <row r="66" spans="2:12" x14ac:dyDescent="0.35">
      <c r="B66" t="s">
        <v>120</v>
      </c>
      <c r="E66" s="49"/>
      <c r="F66" s="2">
        <f t="shared" ref="F66:K66" si="29">SUM(F55,F40,F24)</f>
        <v>23969.297888427456</v>
      </c>
      <c r="G66" s="2">
        <f t="shared" si="29"/>
        <v>27261.177182364263</v>
      </c>
      <c r="H66" s="2">
        <f t="shared" si="29"/>
        <v>29554.263924144121</v>
      </c>
      <c r="I66" s="2">
        <f t="shared" si="29"/>
        <v>30726.982322551998</v>
      </c>
      <c r="J66" s="2">
        <f t="shared" si="29"/>
        <v>33337.990320768746</v>
      </c>
      <c r="K66" s="2">
        <f t="shared" si="29"/>
        <v>36159.141950138757</v>
      </c>
    </row>
    <row r="67" spans="2:12" ht="15" thickBot="1" x14ac:dyDescent="0.4">
      <c r="E67" s="49"/>
    </row>
    <row r="68" spans="2:12" ht="15" thickBot="1" x14ac:dyDescent="0.4">
      <c r="B68" s="27" t="s">
        <v>121</v>
      </c>
      <c r="C68" s="27"/>
      <c r="D68" s="27"/>
      <c r="E68" s="67"/>
      <c r="F68" s="27"/>
      <c r="G68" s="27"/>
      <c r="H68" s="27"/>
      <c r="I68" s="27"/>
      <c r="J68" s="27"/>
      <c r="K68" s="27"/>
      <c r="L68" s="27"/>
    </row>
    <row r="69" spans="2:12" ht="15" thickTop="1" x14ac:dyDescent="0.35">
      <c r="E69" s="49"/>
    </row>
    <row r="70" spans="2:12" x14ac:dyDescent="0.35">
      <c r="B70" t="s">
        <v>65</v>
      </c>
      <c r="C70" s="8">
        <f>BS!C23</f>
        <v>34224.089999999997</v>
      </c>
      <c r="D70" s="8">
        <f>BS!D23</f>
        <v>33156.29</v>
      </c>
      <c r="E70" s="68">
        <f>BS!E23</f>
        <v>34043.57</v>
      </c>
      <c r="F70" s="2">
        <f>F74*Expense!F11</f>
        <v>37021.343069274888</v>
      </c>
      <c r="G70" s="2">
        <f>G74*Expense!G11</f>
        <v>39991.938764029219</v>
      </c>
      <c r="H70" s="2">
        <f>H74*Expense!H11</f>
        <v>43204.935067475475</v>
      </c>
      <c r="I70" s="2">
        <f>I74*Expense!I11</f>
        <v>46680.11186928297</v>
      </c>
      <c r="J70" s="2">
        <f>J74*Expense!J11</f>
        <v>50438.86309811793</v>
      </c>
      <c r="K70" s="2">
        <f>K74*Expense!K11</f>
        <v>54504.328427225853</v>
      </c>
    </row>
    <row r="71" spans="2:12" x14ac:dyDescent="0.35">
      <c r="B71" t="s">
        <v>122</v>
      </c>
      <c r="C71" s="8">
        <f>BS!C25</f>
        <v>28971.919999999998</v>
      </c>
      <c r="D71" s="8">
        <f>BS!D25</f>
        <v>25100.26</v>
      </c>
      <c r="E71" s="68">
        <f>BS!E25</f>
        <v>23891.23</v>
      </c>
      <c r="F71" s="2">
        <f>F75*Expense!F8</f>
        <v>30090.44967235699</v>
      </c>
      <c r="G71" s="2">
        <f>G75*Expense!G8</f>
        <v>32504.90989554943</v>
      </c>
      <c r="H71" s="2">
        <f>H75*Expense!H8</f>
        <v>35116.39007295436</v>
      </c>
      <c r="I71" s="2">
        <f>I75*Expense!I8</f>
        <v>37940.967032835542</v>
      </c>
      <c r="J71" s="2">
        <f>J75*Expense!J8</f>
        <v>40996.029472643015</v>
      </c>
      <c r="K71" s="2">
        <f>K75*Expense!K8</f>
        <v>44300.385007538796</v>
      </c>
    </row>
    <row r="72" spans="2:12" x14ac:dyDescent="0.35">
      <c r="B72" t="s">
        <v>123</v>
      </c>
      <c r="C72" s="8">
        <f>SUM(BS!C58:C59)</f>
        <v>74408.31</v>
      </c>
      <c r="D72" s="8">
        <f>SUM(BS!D58:D59)</f>
        <v>74930.569999999992</v>
      </c>
      <c r="E72" s="68">
        <f>SUM(BS!E58:E59)</f>
        <v>70862.080000000002</v>
      </c>
      <c r="F72" s="2">
        <f>F76*Expense!F11</f>
        <v>80924.205841858071</v>
      </c>
      <c r="G72" s="2">
        <f>G76*Expense!G11</f>
        <v>87417.570953583199</v>
      </c>
      <c r="H72" s="2">
        <f>H76*Expense!H11</f>
        <v>94440.79465842506</v>
      </c>
      <c r="I72" s="2">
        <f>I76*Expense!I11</f>
        <v>102037.11341758205</v>
      </c>
      <c r="J72" s="2">
        <f>J76*Expense!J11</f>
        <v>110253.2917874862</v>
      </c>
      <c r="K72" s="2">
        <f>K76*Expense!K11</f>
        <v>119139.91031237459</v>
      </c>
    </row>
    <row r="73" spans="2:12" x14ac:dyDescent="0.35">
      <c r="E73" s="49"/>
    </row>
    <row r="74" spans="2:12" x14ac:dyDescent="0.35">
      <c r="B74" t="s">
        <v>124</v>
      </c>
      <c r="C74" s="15">
        <f>AVERAGE(C70:C70)/'Revised IS'!C9</f>
        <v>7.6082776171036773E-2</v>
      </c>
      <c r="D74" s="15">
        <f>AVERAGE(C70:D70)/'Revised IS'!D9</f>
        <v>6.536846798498866E-2</v>
      </c>
      <c r="E74" s="51">
        <f>AVERAGE(D70:E70)/'Revised IS'!E9</f>
        <v>6.7295499017293398E-2</v>
      </c>
      <c r="F74" s="41">
        <f>AVERAGE(C74:E74)</f>
        <v>6.9582247724439619E-2</v>
      </c>
      <c r="G74" s="41">
        <f>AVERAGE($C74:$F74)</f>
        <v>6.9582247724439619E-2</v>
      </c>
      <c r="H74" s="41">
        <f t="shared" ref="H74:K74" si="30">AVERAGE($C74:$F74)</f>
        <v>6.9582247724439619E-2</v>
      </c>
      <c r="I74" s="41">
        <f t="shared" si="30"/>
        <v>6.9582247724439619E-2</v>
      </c>
      <c r="J74" s="41">
        <f t="shared" si="30"/>
        <v>6.9582247724439619E-2</v>
      </c>
      <c r="K74" s="41">
        <f t="shared" si="30"/>
        <v>6.9582247724439619E-2</v>
      </c>
    </row>
    <row r="75" spans="2:12" x14ac:dyDescent="0.35">
      <c r="B75" t="s">
        <v>125</v>
      </c>
      <c r="C75" s="15">
        <f>AVERAGE(C71:C71)/'BS shcedule'!C8</f>
        <v>4.8040262932122289E-2</v>
      </c>
      <c r="D75" s="15">
        <f>AVERAGE(C71:D71)/'BS shcedule'!D8</f>
        <v>3.8717535595532961E-2</v>
      </c>
      <c r="E75" s="51">
        <f>AVERAGE(D71:E71)/'BS shcedule'!E8</f>
        <v>3.5402113870431309E-2</v>
      </c>
      <c r="F75" s="41">
        <f>AVERAGE($C75:$E75)</f>
        <v>4.0719970799362189E-2</v>
      </c>
      <c r="G75" s="41">
        <f t="shared" ref="G75:K76" si="31">AVERAGE($C75:$E75)</f>
        <v>4.0719970799362189E-2</v>
      </c>
      <c r="H75" s="41">
        <f t="shared" si="31"/>
        <v>4.0719970799362189E-2</v>
      </c>
      <c r="I75" s="41">
        <f t="shared" si="31"/>
        <v>4.0719970799362189E-2</v>
      </c>
      <c r="J75" s="41">
        <f t="shared" si="31"/>
        <v>4.0719970799362189E-2</v>
      </c>
      <c r="K75" s="41">
        <f t="shared" si="31"/>
        <v>4.0719970799362189E-2</v>
      </c>
    </row>
    <row r="76" spans="2:12" x14ac:dyDescent="0.35">
      <c r="B76" t="s">
        <v>126</v>
      </c>
      <c r="C76" s="15">
        <f>AVERAGE(C72:C72)/Expense!C11</f>
        <v>0.16541537831963149</v>
      </c>
      <c r="D76" s="15">
        <f>AVERAGE(C72:D72)/Expense!D11</f>
        <v>0.14487976761475763</v>
      </c>
      <c r="E76" s="51">
        <f>AVERAGE(D72:E72)/Expense!E11</f>
        <v>0.14600014248249327</v>
      </c>
      <c r="F76" s="41">
        <f>AVERAGE($C76:$E76)</f>
        <v>0.15209842947229413</v>
      </c>
      <c r="G76" s="41">
        <f t="shared" si="31"/>
        <v>0.15209842947229413</v>
      </c>
      <c r="H76" s="41">
        <f t="shared" si="31"/>
        <v>0.15209842947229413</v>
      </c>
      <c r="I76" s="41">
        <f t="shared" si="31"/>
        <v>0.15209842947229413</v>
      </c>
      <c r="J76" s="41">
        <f t="shared" si="31"/>
        <v>0.15209842947229413</v>
      </c>
      <c r="K76" s="41">
        <f t="shared" si="31"/>
        <v>0.15209842947229413</v>
      </c>
    </row>
    <row r="77" spans="2:12" x14ac:dyDescent="0.35">
      <c r="E77" s="49"/>
    </row>
    <row r="78" spans="2:12" x14ac:dyDescent="0.35">
      <c r="B78" t="s">
        <v>127</v>
      </c>
      <c r="C78" s="17">
        <f>360/(C8/AVERAGE(C71:C71))</f>
        <v>17.294494655564023</v>
      </c>
      <c r="D78" s="17">
        <f t="shared" ref="D78:K78" si="32">360/(D8/AVERAGE(C71:D71))</f>
        <v>13.938312814391864</v>
      </c>
      <c r="E78" s="73">
        <f t="shared" si="32"/>
        <v>12.744760993355271</v>
      </c>
      <c r="F78" s="42">
        <f t="shared" si="32"/>
        <v>13.149149976182779</v>
      </c>
      <c r="G78" s="42">
        <f t="shared" si="32"/>
        <v>14.114748201266336</v>
      </c>
      <c r="H78" s="42">
        <f t="shared" si="32"/>
        <v>14.114113774056596</v>
      </c>
      <c r="I78" s="42">
        <f t="shared" si="32"/>
        <v>14.113525893562915</v>
      </c>
      <c r="J78" s="42">
        <f t="shared" si="32"/>
        <v>14.112981235676203</v>
      </c>
      <c r="K78" s="42">
        <f t="shared" si="32"/>
        <v>14.112476700593065</v>
      </c>
    </row>
    <row r="79" spans="2:12" x14ac:dyDescent="0.35">
      <c r="B79" t="s">
        <v>128</v>
      </c>
      <c r="C79" s="17">
        <f>360/(C9/AVERAGE((C70:C70)))</f>
        <v>27.389799421573237</v>
      </c>
      <c r="D79" s="17">
        <f t="shared" ref="D79:K79" si="33">360/(D9/AVERAGE((C70:D70)))</f>
        <v>23.53264847459592</v>
      </c>
      <c r="E79" s="73">
        <f t="shared" si="33"/>
        <v>24.226379646225624</v>
      </c>
      <c r="F79" s="42">
        <f t="shared" si="33"/>
        <v>24.042189602923084</v>
      </c>
      <c r="G79" s="42">
        <f t="shared" si="33"/>
        <v>24.11926842354185</v>
      </c>
      <c r="H79" s="42">
        <f t="shared" si="33"/>
        <v>24.118184314923777</v>
      </c>
      <c r="I79" s="42">
        <f t="shared" si="33"/>
        <v>24.117179745290237</v>
      </c>
      <c r="J79" s="42">
        <f t="shared" si="33"/>
        <v>24.116249034406756</v>
      </c>
      <c r="K79" s="42">
        <f t="shared" si="33"/>
        <v>24.115386885332192</v>
      </c>
    </row>
    <row r="80" spans="2:12" x14ac:dyDescent="0.35">
      <c r="B80" t="s">
        <v>129</v>
      </c>
      <c r="C80" s="17">
        <f>360/(C9/AVERAGE(C72:C72))</f>
        <v>59.54953619506734</v>
      </c>
      <c r="D80" s="17">
        <f t="shared" ref="D80:K80" si="34">360/(D9/AVERAGE(C72:D72))</f>
        <v>52.156716341312752</v>
      </c>
      <c r="E80" s="73">
        <f t="shared" si="34"/>
        <v>52.560051293697576</v>
      </c>
      <c r="F80" s="42">
        <f t="shared" si="34"/>
        <v>51.351285827593671</v>
      </c>
      <c r="G80" s="42">
        <f t="shared" si="34"/>
        <v>52.721821545194352</v>
      </c>
      <c r="H80" s="42">
        <f t="shared" si="34"/>
        <v>52.719451814069259</v>
      </c>
      <c r="I80" s="42">
        <f t="shared" si="34"/>
        <v>52.717255945603455</v>
      </c>
      <c r="J80" s="42">
        <f t="shared" si="34"/>
        <v>52.715221523487195</v>
      </c>
      <c r="K80" s="42">
        <f t="shared" si="34"/>
        <v>52.713336969243834</v>
      </c>
    </row>
    <row r="81" spans="2:12" x14ac:dyDescent="0.35">
      <c r="E81" s="49"/>
    </row>
    <row r="82" spans="2:12" x14ac:dyDescent="0.35">
      <c r="B82" s="53"/>
      <c r="C82" s="53"/>
      <c r="D82" s="53"/>
      <c r="E82" s="54"/>
      <c r="F82" s="53"/>
      <c r="G82" s="53"/>
      <c r="H82" s="53"/>
      <c r="I82" s="53"/>
      <c r="J82" s="53"/>
      <c r="K82" s="53"/>
      <c r="L82" s="53"/>
    </row>
  </sheetData>
  <sheetProtection algorithmName="SHA-512" hashValue="3U7rSFxkIRYKIxHfSjRiFjSWIxKu9bvabS6qTUru0p1q8Btg8gQzbQKMB4mrzqFRkWg0fRhNFkkbaS7LnowkKQ==" saltValue="SSnm4ogHKequ7XDBeSAeXw==" spinCount="100000" sheet="1" objects="1" scenarios="1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87C4-1B83-475B-AF82-41C0FF81505E}">
  <dimension ref="A1:N27"/>
  <sheetViews>
    <sheetView workbookViewId="0">
      <pane ySplit="6" topLeftCell="A7" activePane="bottomLeft" state="frozen"/>
      <selection activeCell="B12" sqref="B12"/>
      <selection pane="bottomLeft" activeCell="B2" sqref="B2"/>
    </sheetView>
  </sheetViews>
  <sheetFormatPr defaultColWidth="0" defaultRowHeight="14.5" x14ac:dyDescent="0.35"/>
  <cols>
    <col min="1" max="1" width="1.81640625" customWidth="1"/>
    <col min="2" max="2" width="34.6328125" customWidth="1"/>
    <col min="3" max="11" width="8.7265625" customWidth="1"/>
    <col min="12" max="12" width="2.726562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47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47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47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7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f t="shared" ref="D6:K6" si="0">C6+1</f>
        <v>2024</v>
      </c>
      <c r="E6" s="48">
        <f t="shared" si="0"/>
        <v>2025</v>
      </c>
      <c r="F6" s="13">
        <f t="shared" si="0"/>
        <v>2026</v>
      </c>
      <c r="G6" s="13">
        <f t="shared" si="0"/>
        <v>2027</v>
      </c>
      <c r="H6" s="13">
        <f t="shared" si="0"/>
        <v>2028</v>
      </c>
      <c r="I6" s="13">
        <f t="shared" si="0"/>
        <v>2029</v>
      </c>
      <c r="J6" s="13">
        <f t="shared" si="0"/>
        <v>2030</v>
      </c>
      <c r="K6" s="13">
        <f t="shared" si="0"/>
        <v>2031</v>
      </c>
      <c r="L6" s="3"/>
    </row>
    <row r="7" spans="1:12" x14ac:dyDescent="0.35">
      <c r="E7" s="49"/>
    </row>
    <row r="8" spans="1:12" x14ac:dyDescent="0.35">
      <c r="B8" t="s">
        <v>152</v>
      </c>
      <c r="E8" s="49"/>
      <c r="F8" s="2">
        <f>CFS!F19+CFS!F25+(SUM(CFS!F27:F30))</f>
        <v>40535.665671042341</v>
      </c>
      <c r="G8" s="2">
        <f>CFS!G19+CFS!G25+(SUM(CFS!G27:G30))</f>
        <v>43398.093537135923</v>
      </c>
      <c r="H8" s="2">
        <f>CFS!H19+CFS!H25+(SUM(CFS!H27:H30))</f>
        <v>46694.907043477637</v>
      </c>
      <c r="I8" s="2">
        <f>CFS!I19+CFS!I25+(SUM(CFS!I27:I30))</f>
        <v>50467.491974877026</v>
      </c>
      <c r="J8" s="2">
        <f>CFS!J19+CFS!J25+(SUM(CFS!J27:J30))</f>
        <v>54237.226752048504</v>
      </c>
      <c r="K8" s="2">
        <f>CFS!K19+CFS!K25+(SUM(CFS!K27:K30))</f>
        <v>58313.161581931876</v>
      </c>
    </row>
    <row r="9" spans="1:12" x14ac:dyDescent="0.35">
      <c r="B9" t="s">
        <v>153</v>
      </c>
      <c r="E9" s="49"/>
      <c r="F9" s="2">
        <f>BS!E26</f>
        <v>48457.17</v>
      </c>
      <c r="G9" s="2">
        <f>BS!F26</f>
        <v>86434.465671042344</v>
      </c>
      <c r="H9" s="2">
        <f>BS!G26</f>
        <v>124472.67920817826</v>
      </c>
      <c r="I9" s="2">
        <f>BS!H26</f>
        <v>171167.58625165588</v>
      </c>
      <c r="J9" s="2">
        <f>BS!I26</f>
        <v>221635.0782265329</v>
      </c>
      <c r="K9" s="2">
        <f>BS!J26</f>
        <v>275872.30497858138</v>
      </c>
    </row>
    <row r="10" spans="1:12" x14ac:dyDescent="0.35">
      <c r="B10" t="s">
        <v>154</v>
      </c>
      <c r="C10" s="32">
        <v>0.02</v>
      </c>
      <c r="E10" s="49"/>
      <c r="F10" s="2">
        <f>$C$10*'Revised IS'!F8</f>
        <v>14779.209847973814</v>
      </c>
      <c r="G10" s="2">
        <f>$C$10*'Revised IS'!G8</f>
        <v>15965.094894448484</v>
      </c>
      <c r="H10" s="2">
        <f>$C$10*'Revised IS'!H8</f>
        <v>17247.748160715477</v>
      </c>
      <c r="I10" s="2">
        <f>$C$10*'Revised IS'!I8</f>
        <v>18635.065933509864</v>
      </c>
      <c r="J10" s="2">
        <f>$C$10*'Revised IS'!J8</f>
        <v>20135.588836564271</v>
      </c>
      <c r="K10" s="2">
        <f>$C$10*'Revised IS'!K8</f>
        <v>21758.55440850792</v>
      </c>
    </row>
    <row r="11" spans="1:12" x14ac:dyDescent="0.35">
      <c r="B11" t="s">
        <v>155</v>
      </c>
      <c r="E11" s="49"/>
      <c r="F11" s="2">
        <f>SUM(F8:F9)-F10</f>
        <v>74213.62582306852</v>
      </c>
      <c r="G11" s="2">
        <f t="shared" ref="G11:K11" si="1">SUM(G8:G9)-G10</f>
        <v>113867.46431372978</v>
      </c>
      <c r="H11" s="2">
        <f t="shared" si="1"/>
        <v>153919.83809094041</v>
      </c>
      <c r="I11" s="2">
        <f t="shared" si="1"/>
        <v>203000.01229302303</v>
      </c>
      <c r="J11" s="2">
        <f t="shared" si="1"/>
        <v>255736.7161420171</v>
      </c>
      <c r="K11" s="2">
        <f t="shared" si="1"/>
        <v>312426.9121520053</v>
      </c>
    </row>
    <row r="12" spans="1:12" x14ac:dyDescent="0.35">
      <c r="E12" s="49"/>
    </row>
    <row r="13" spans="1:12" x14ac:dyDescent="0.35">
      <c r="B13" t="s">
        <v>156</v>
      </c>
      <c r="C13" s="11">
        <f>BS!C55</f>
        <v>4520.34</v>
      </c>
      <c r="D13" s="11">
        <f>BS!D55</f>
        <v>1451.18</v>
      </c>
      <c r="E13" s="64">
        <f>BS!E55</f>
        <v>2558.37</v>
      </c>
      <c r="F13" s="11">
        <f>E20</f>
        <v>5359.88</v>
      </c>
    </row>
    <row r="14" spans="1:12" x14ac:dyDescent="0.35">
      <c r="E14" s="49"/>
    </row>
    <row r="15" spans="1:12" x14ac:dyDescent="0.35">
      <c r="E15" s="49"/>
    </row>
    <row r="16" spans="1:12" x14ac:dyDescent="0.35">
      <c r="B16" t="s">
        <v>157</v>
      </c>
      <c r="E16" s="49"/>
      <c r="F16" s="11">
        <f>-E13</f>
        <v>-2558.37</v>
      </c>
      <c r="G16" s="11">
        <f>-F13</f>
        <v>-5359.88</v>
      </c>
    </row>
    <row r="17" spans="2:12" x14ac:dyDescent="0.35">
      <c r="B17" t="s">
        <v>80</v>
      </c>
      <c r="E17" s="49"/>
    </row>
    <row r="18" spans="2:12" x14ac:dyDescent="0.35">
      <c r="E18" s="49"/>
    </row>
    <row r="19" spans="2:12" x14ac:dyDescent="0.35">
      <c r="E19" s="49"/>
    </row>
    <row r="20" spans="2:12" x14ac:dyDescent="0.35">
      <c r="B20" t="s">
        <v>158</v>
      </c>
      <c r="C20" s="11">
        <f>BS!C46</f>
        <v>7065.66</v>
      </c>
      <c r="D20" s="11">
        <f>BS!D46</f>
        <v>6227.97</v>
      </c>
      <c r="E20" s="64">
        <f>BS!E46</f>
        <v>5359.88</v>
      </c>
      <c r="F20" s="11">
        <f>BS!F46</f>
        <v>0</v>
      </c>
    </row>
    <row r="21" spans="2:12" x14ac:dyDescent="0.35">
      <c r="E21" s="49"/>
    </row>
    <row r="22" spans="2:12" x14ac:dyDescent="0.35">
      <c r="B22" t="s">
        <v>159</v>
      </c>
      <c r="C22" s="11">
        <f t="shared" ref="C22:G22" si="2">C20+C13</f>
        <v>11586</v>
      </c>
      <c r="D22" s="11">
        <f t="shared" si="2"/>
        <v>7679.1500000000005</v>
      </c>
      <c r="E22" s="64">
        <f t="shared" si="2"/>
        <v>7918.25</v>
      </c>
      <c r="F22" s="11">
        <f t="shared" si="2"/>
        <v>5359.88</v>
      </c>
      <c r="G22" s="11">
        <f t="shared" si="2"/>
        <v>0</v>
      </c>
    </row>
    <row r="23" spans="2:12" x14ac:dyDescent="0.35">
      <c r="E23" s="49"/>
    </row>
    <row r="24" spans="2:12" x14ac:dyDescent="0.35">
      <c r="E24" s="49">
        <v>625</v>
      </c>
      <c r="F24" s="21">
        <f>AVERAGE(E22:F22)*F25</f>
        <v>532.0650396861015</v>
      </c>
      <c r="G24" s="21">
        <f t="shared" ref="G24:H24" si="3">AVERAGE(F22:G22)*G25</f>
        <v>214.77457781425107</v>
      </c>
      <c r="H24" s="21">
        <f t="shared" si="3"/>
        <v>0</v>
      </c>
      <c r="I24" s="21"/>
      <c r="J24" s="21"/>
      <c r="K24" s="21"/>
    </row>
    <row r="25" spans="2:12" x14ac:dyDescent="0.35">
      <c r="B25" t="s">
        <v>160</v>
      </c>
      <c r="E25" s="65">
        <f>$E$24/AVERAGE(D22:E22)</f>
        <v>8.0141562055214319E-2</v>
      </c>
      <c r="F25" s="40">
        <f>E25</f>
        <v>8.0141562055214319E-2</v>
      </c>
      <c r="G25" s="40">
        <f t="shared" ref="G25:K25" si="4">F25</f>
        <v>8.0141562055214319E-2</v>
      </c>
      <c r="H25" s="40">
        <f t="shared" si="4"/>
        <v>8.0141562055214319E-2</v>
      </c>
      <c r="I25" s="40">
        <f t="shared" si="4"/>
        <v>8.0141562055214319E-2</v>
      </c>
      <c r="J25" s="40">
        <f t="shared" si="4"/>
        <v>8.0141562055214319E-2</v>
      </c>
      <c r="K25" s="40">
        <f t="shared" si="4"/>
        <v>8.0141562055214319E-2</v>
      </c>
    </row>
    <row r="26" spans="2:12" x14ac:dyDescent="0.35">
      <c r="E26" s="49"/>
    </row>
    <row r="27" spans="2:12" x14ac:dyDescent="0.35">
      <c r="B27" s="53"/>
      <c r="C27" s="53"/>
      <c r="D27" s="53"/>
      <c r="E27" s="54"/>
      <c r="F27" s="53"/>
      <c r="G27" s="53"/>
      <c r="H27" s="53"/>
      <c r="I27" s="53"/>
      <c r="J27" s="53"/>
      <c r="K27" s="53"/>
      <c r="L27" s="53"/>
    </row>
  </sheetData>
  <sheetProtection algorithmName="SHA-512" hashValue="yq/kXi3eV3O6Ay/nD/zgRD1MbEzh8CwlrWI038HV5kDP3eOkXZWUng0QCEa7UY734HeuVnAhAaCHiYIVSyGBRw==" saltValue="hY35wK9bPAY7B0aoyonpqA==" spinCount="100000" sheet="1" objects="1" scenarios="1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9F71-5C37-465B-9636-B63CF954D387}">
  <dimension ref="A1:N68"/>
  <sheetViews>
    <sheetView tabSelected="1" workbookViewId="0">
      <selection activeCell="H4" sqref="H4"/>
    </sheetView>
  </sheetViews>
  <sheetFormatPr defaultColWidth="0" defaultRowHeight="14.5" x14ac:dyDescent="0.35"/>
  <cols>
    <col min="1" max="1" width="1.81640625" customWidth="1"/>
    <col min="2" max="2" width="34.6328125" customWidth="1"/>
    <col min="3" max="11" width="9.6328125" customWidth="1"/>
    <col min="12" max="12" width="1.7265625" customWidth="1"/>
    <col min="13" max="13" width="0" hidden="1" customWidth="1"/>
    <col min="15" max="16384" width="8.7265625" hidden="1"/>
  </cols>
  <sheetData>
    <row r="1" spans="1:12" x14ac:dyDescent="0.35">
      <c r="A1" s="3"/>
      <c r="B1" s="3"/>
      <c r="C1" s="3"/>
      <c r="D1" s="3"/>
      <c r="E1" s="47"/>
      <c r="F1" s="3"/>
      <c r="G1" s="3"/>
      <c r="H1" s="3"/>
      <c r="I1" s="3"/>
      <c r="J1" s="3"/>
      <c r="K1" s="3"/>
      <c r="L1" s="3"/>
    </row>
    <row r="2" spans="1:12" x14ac:dyDescent="0.35">
      <c r="A2" s="3"/>
      <c r="B2" s="3"/>
      <c r="C2" s="3"/>
      <c r="D2" s="3"/>
      <c r="E2" s="47"/>
      <c r="F2" s="3"/>
      <c r="G2" s="3"/>
      <c r="H2" s="3"/>
      <c r="I2" s="3"/>
      <c r="J2" s="3"/>
      <c r="K2" s="3"/>
      <c r="L2" s="3"/>
    </row>
    <row r="3" spans="1:12" x14ac:dyDescent="0.35">
      <c r="A3" s="3"/>
      <c r="B3" s="3"/>
      <c r="C3" s="3"/>
      <c r="D3" s="3"/>
      <c r="E3" s="47"/>
      <c r="F3" s="3"/>
      <c r="G3" s="3"/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7"/>
      <c r="F4" s="3"/>
      <c r="G4" s="3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7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 t="s">
        <v>18</v>
      </c>
      <c r="C6" s="12">
        <v>2023</v>
      </c>
      <c r="D6" s="12">
        <v>2024</v>
      </c>
      <c r="E6" s="48">
        <v>2025</v>
      </c>
      <c r="F6" s="13">
        <v>2026</v>
      </c>
      <c r="G6" s="13">
        <v>2027</v>
      </c>
      <c r="H6" s="13">
        <v>2028</v>
      </c>
      <c r="I6" s="13">
        <v>2029</v>
      </c>
      <c r="J6" s="13">
        <v>2030</v>
      </c>
      <c r="K6" s="13">
        <v>2031</v>
      </c>
      <c r="L6" s="3"/>
    </row>
    <row r="7" spans="1:12" x14ac:dyDescent="0.35">
      <c r="E7" s="49"/>
    </row>
    <row r="8" spans="1:12" x14ac:dyDescent="0.35">
      <c r="B8" t="s">
        <v>25</v>
      </c>
      <c r="E8" s="49"/>
      <c r="F8" s="2">
        <f>'Revised IS'!F18</f>
        <v>71854.242432280007</v>
      </c>
      <c r="G8" s="2">
        <f>'Revised IS'!G18</f>
        <v>74255.615245264256</v>
      </c>
      <c r="H8" s="2">
        <f>'Revised IS'!H18</f>
        <v>80118.49915377624</v>
      </c>
      <c r="I8" s="2">
        <f>'Revised IS'!I18</f>
        <v>87767.27861072401</v>
      </c>
      <c r="J8" s="2">
        <f>'Revised IS'!J18</f>
        <v>94697.602692860077</v>
      </c>
      <c r="K8" s="2">
        <f>'Revised IS'!K18</f>
        <v>102196.35584159952</v>
      </c>
    </row>
    <row r="9" spans="1:12" x14ac:dyDescent="0.35">
      <c r="B9" t="s">
        <v>164</v>
      </c>
      <c r="E9" s="49"/>
      <c r="F9" s="16">
        <v>0.26</v>
      </c>
      <c r="G9" s="16">
        <v>0.26</v>
      </c>
      <c r="H9" s="16">
        <v>0.26</v>
      </c>
      <c r="I9" s="16">
        <v>0.26</v>
      </c>
      <c r="J9" s="16">
        <v>0.26</v>
      </c>
      <c r="K9" s="16">
        <v>0.26</v>
      </c>
    </row>
    <row r="10" spans="1:12" x14ac:dyDescent="0.35">
      <c r="B10" s="39" t="s">
        <v>165</v>
      </c>
      <c r="C10" s="24"/>
      <c r="D10" s="24"/>
      <c r="E10" s="96"/>
      <c r="F10" s="31">
        <f>F8*(1-F9)</f>
        <v>53172.139399887208</v>
      </c>
      <c r="G10" s="31">
        <f t="shared" ref="G10:K10" si="0">G8*(1-G9)</f>
        <v>54949.15528149555</v>
      </c>
      <c r="H10" s="31">
        <f t="shared" si="0"/>
        <v>59287.689373794419</v>
      </c>
      <c r="I10" s="31">
        <f t="shared" si="0"/>
        <v>64947.786171935768</v>
      </c>
      <c r="J10" s="31">
        <f t="shared" si="0"/>
        <v>70076.225992716456</v>
      </c>
      <c r="K10" s="31">
        <f t="shared" si="0"/>
        <v>75625.303322783642</v>
      </c>
      <c r="L10" s="24"/>
    </row>
    <row r="11" spans="1:12" x14ac:dyDescent="0.35">
      <c r="B11" t="s">
        <v>166</v>
      </c>
      <c r="E11" s="49"/>
      <c r="F11" s="2">
        <f>'Revised IS'!F16</f>
        <v>23969.297888427456</v>
      </c>
      <c r="G11" s="2">
        <f>'Revised IS'!G16</f>
        <v>27261.177182364263</v>
      </c>
      <c r="H11" s="2">
        <f>'Revised IS'!H16</f>
        <v>29554.263924144121</v>
      </c>
      <c r="I11" s="2">
        <f>'Revised IS'!I16</f>
        <v>30726.982322551998</v>
      </c>
      <c r="J11" s="2">
        <f>'Revised IS'!J16</f>
        <v>33337.990320768746</v>
      </c>
      <c r="K11" s="2">
        <f>'Revised IS'!K16</f>
        <v>36159.141950138757</v>
      </c>
    </row>
    <row r="12" spans="1:12" x14ac:dyDescent="0.35">
      <c r="B12" t="s">
        <v>167</v>
      </c>
      <c r="E12" s="49"/>
      <c r="F12" s="2">
        <f>SUM(CFS!F12:F14)</f>
        <v>-9176.9927416318787</v>
      </c>
      <c r="G12" s="2">
        <f>SUM(CFS!G12:G14)</f>
        <v>-5385.0559179467709</v>
      </c>
      <c r="H12" s="2">
        <f>SUM(CFS!H12:H14)</f>
        <v>-5824.4764808511864</v>
      </c>
      <c r="I12" s="2">
        <f>SUM(CFS!I12:I14)</f>
        <v>-6299.7537616886766</v>
      </c>
      <c r="J12" s="2">
        <f>SUM(CFS!J12:J14)</f>
        <v>-6813.8136686424332</v>
      </c>
      <c r="K12" s="2">
        <f>SUM(CFS!K12:K14)</f>
        <v>-7369.8208640037046</v>
      </c>
    </row>
    <row r="13" spans="1:12" x14ac:dyDescent="0.35">
      <c r="B13" t="s">
        <v>168</v>
      </c>
      <c r="E13" s="49"/>
      <c r="F13" s="2">
        <f>SUM(CFS!F16:F17)</f>
        <v>10062.125841858069</v>
      </c>
      <c r="G13" s="2">
        <f>SUM(CFS!G16:G17)</f>
        <v>6493.3651117251284</v>
      </c>
      <c r="H13" s="2">
        <f>SUM(CFS!H16:H17)</f>
        <v>7023.223704841861</v>
      </c>
      <c r="I13" s="2">
        <f>SUM(CFS!I16:I17)</f>
        <v>7596.3187591569877</v>
      </c>
      <c r="J13" s="2">
        <f>SUM(CFS!J16:J17)</f>
        <v>8216.1783699041553</v>
      </c>
      <c r="K13" s="2">
        <f>SUM(CFS!K16:K17)</f>
        <v>8886.6185248883849</v>
      </c>
    </row>
    <row r="14" spans="1:12" x14ac:dyDescent="0.35">
      <c r="B14" t="s">
        <v>143</v>
      </c>
      <c r="E14" s="49"/>
      <c r="F14" s="2">
        <f>CFS!F21</f>
        <v>-22767.635453534331</v>
      </c>
      <c r="G14" s="2">
        <f>CFS!G21</f>
        <v>-24594.512445313056</v>
      </c>
      <c r="H14" s="2">
        <f>CFS!H21</f>
        <v>-26570.462599620911</v>
      </c>
      <c r="I14" s="2">
        <f>CFS!I21</f>
        <v>-28707.650286520293</v>
      </c>
      <c r="J14" s="2">
        <f>CFS!J21</f>
        <v>-31019.232488670663</v>
      </c>
      <c r="K14" s="2">
        <f>CFS!K21</f>
        <v>-33519.439798516512</v>
      </c>
    </row>
    <row r="15" spans="1:12" x14ac:dyDescent="0.35">
      <c r="B15" t="s">
        <v>144</v>
      </c>
      <c r="E15" s="49"/>
      <c r="F15" s="2">
        <f>CFS!F22</f>
        <v>-760.81023841153353</v>
      </c>
      <c r="G15" s="2">
        <f>CFS!G22</f>
        <v>-821.85771620079845</v>
      </c>
      <c r="H15" s="2">
        <f>CFS!H22</f>
        <v>-887.88666817766693</v>
      </c>
      <c r="I15" s="2">
        <f>CFS!I22</f>
        <v>0</v>
      </c>
      <c r="J15" s="2">
        <f>CFS!J22</f>
        <v>0</v>
      </c>
      <c r="K15" s="2">
        <f>CFS!K22</f>
        <v>0</v>
      </c>
    </row>
    <row r="16" spans="1:12" x14ac:dyDescent="0.35">
      <c r="B16" t="s">
        <v>169</v>
      </c>
      <c r="E16" s="49"/>
      <c r="F16" s="2">
        <f>CFS!F23</f>
        <v>-2092.2212840442821</v>
      </c>
      <c r="G16" s="2">
        <f>CFS!G23</f>
        <v>-2260.1012965880045</v>
      </c>
      <c r="H16" s="2">
        <f>CFS!H23</f>
        <v>-2441.6803181552932</v>
      </c>
      <c r="I16" s="2">
        <f>CFS!I23</f>
        <v>-2638.0761878824737</v>
      </c>
      <c r="J16" s="2">
        <f>CFS!J23</f>
        <v>-2850.4979605793915</v>
      </c>
      <c r="K16" s="2">
        <f>CFS!K23</f>
        <v>-3080.2533499283782</v>
      </c>
    </row>
    <row r="17" spans="2:12" ht="15" thickBot="1" x14ac:dyDescent="0.4">
      <c r="E17" s="49"/>
    </row>
    <row r="18" spans="2:12" ht="15" thickBot="1" x14ac:dyDescent="0.4">
      <c r="B18" s="27" t="s">
        <v>170</v>
      </c>
      <c r="C18" s="27"/>
      <c r="D18" s="27"/>
      <c r="E18" s="67"/>
      <c r="F18" s="43">
        <f>SUM(F10:F16)</f>
        <v>52405.903412550702</v>
      </c>
      <c r="G18" s="43">
        <f t="shared" ref="G18:K18" si="1">SUM(G10:G16)</f>
        <v>55642.170199536311</v>
      </c>
      <c r="H18" s="43">
        <f t="shared" si="1"/>
        <v>60140.670935975359</v>
      </c>
      <c r="I18" s="43">
        <f t="shared" si="1"/>
        <v>65625.60701755331</v>
      </c>
      <c r="J18" s="43">
        <f t="shared" si="1"/>
        <v>70946.850565496876</v>
      </c>
      <c r="K18" s="43">
        <f t="shared" si="1"/>
        <v>76701.549785362193</v>
      </c>
      <c r="L18" s="43"/>
    </row>
    <row r="19" spans="2:12" ht="15" thickTop="1" x14ac:dyDescent="0.35">
      <c r="K19" s="2">
        <f>K18*(1+I31)/(C67-I31)</f>
        <v>1118254.7558895466</v>
      </c>
    </row>
    <row r="21" spans="2:12" x14ac:dyDescent="0.35">
      <c r="B21" t="s">
        <v>204</v>
      </c>
      <c r="F21">
        <v>0.5</v>
      </c>
      <c r="G21">
        <f>F21+1</f>
        <v>1.5</v>
      </c>
      <c r="H21">
        <f t="shared" ref="H21:K21" si="2">G21+1</f>
        <v>2.5</v>
      </c>
      <c r="I21">
        <f t="shared" si="2"/>
        <v>3.5</v>
      </c>
      <c r="J21">
        <f t="shared" si="2"/>
        <v>4.5</v>
      </c>
      <c r="K21">
        <f t="shared" si="2"/>
        <v>5.5</v>
      </c>
    </row>
    <row r="23" spans="2:12" x14ac:dyDescent="0.35">
      <c r="B23" t="s">
        <v>205</v>
      </c>
      <c r="F23" s="2">
        <f>F18/(1+$C$67)^F21</f>
        <v>49240.408106912553</v>
      </c>
      <c r="G23" s="2">
        <f>G18/(1+$C$67)^G21</f>
        <v>46156.020257296623</v>
      </c>
      <c r="H23" s="2">
        <f>H18/(1+$C$67)^H21</f>
        <v>44042.851296760957</v>
      </c>
      <c r="I23" s="2">
        <f>I18/(1+$C$67)^I21</f>
        <v>42429.054609030682</v>
      </c>
      <c r="J23" s="2">
        <f>J18/(1+$C$67)^J21</f>
        <v>40495.429179943232</v>
      </c>
      <c r="K23" s="2">
        <f>K18/(1+$C$67)^K21</f>
        <v>38650.924578955091</v>
      </c>
    </row>
    <row r="24" spans="2:12" x14ac:dyDescent="0.35">
      <c r="B24" t="s">
        <v>206</v>
      </c>
    </row>
    <row r="25" spans="2:12" ht="15" thickBot="1" x14ac:dyDescent="0.4"/>
    <row r="26" spans="2:12" ht="15" thickBot="1" x14ac:dyDescent="0.4">
      <c r="B26" t="s">
        <v>207</v>
      </c>
      <c r="C26" s="2">
        <f>SUM(F23:K23)</f>
        <v>261014.68802889914</v>
      </c>
      <c r="F26" s="62" t="s">
        <v>194</v>
      </c>
      <c r="G26" s="62"/>
      <c r="H26" s="62"/>
      <c r="I26" s="62"/>
    </row>
    <row r="27" spans="2:12" ht="15" thickTop="1" x14ac:dyDescent="0.35">
      <c r="B27" t="s">
        <v>200</v>
      </c>
      <c r="C27" s="2">
        <f>I45</f>
        <v>917110.43872982007</v>
      </c>
    </row>
    <row r="28" spans="2:12" x14ac:dyDescent="0.35">
      <c r="F28" s="60" t="s">
        <v>195</v>
      </c>
      <c r="G28" s="60"/>
      <c r="H28" s="60"/>
    </row>
    <row r="29" spans="2:12" x14ac:dyDescent="0.35">
      <c r="B29" t="s">
        <v>208</v>
      </c>
      <c r="C29" s="2">
        <f>SUM(C26:C27)</f>
        <v>1178125.1267587193</v>
      </c>
    </row>
    <row r="30" spans="2:12" x14ac:dyDescent="0.35">
      <c r="B30" t="s">
        <v>209</v>
      </c>
      <c r="C30" s="2">
        <f>C62-BS!E26-BS!E27</f>
        <v>-77289.399999999994</v>
      </c>
      <c r="F30" s="60" t="s">
        <v>197</v>
      </c>
      <c r="G30" s="60"/>
      <c r="H30" s="60"/>
      <c r="I30" s="2">
        <f>K18</f>
        <v>76701.549785362193</v>
      </c>
    </row>
    <row r="31" spans="2:12" x14ac:dyDescent="0.35">
      <c r="F31" s="60" t="s">
        <v>198</v>
      </c>
      <c r="G31" s="60"/>
      <c r="H31" s="60"/>
      <c r="I31" s="16">
        <v>0.06</v>
      </c>
    </row>
    <row r="32" spans="2:12" x14ac:dyDescent="0.35">
      <c r="B32" t="s">
        <v>210</v>
      </c>
      <c r="C32" s="2">
        <f>C29-C30</f>
        <v>1255414.5267587192</v>
      </c>
      <c r="F32" s="60" t="s">
        <v>199</v>
      </c>
      <c r="G32" s="60"/>
      <c r="H32" s="60"/>
      <c r="I32" s="2">
        <f>I30*(1+I31)/(C67-I31)</f>
        <v>1118254.7558895466</v>
      </c>
    </row>
    <row r="33" spans="1:11" ht="15" thickBot="1" x14ac:dyDescent="0.4">
      <c r="B33" t="s">
        <v>211</v>
      </c>
      <c r="C33" s="2">
        <f>C48</f>
        <v>812.54110000000003</v>
      </c>
      <c r="F33" s="60"/>
      <c r="G33" s="60"/>
      <c r="H33" s="60"/>
    </row>
    <row r="34" spans="1:11" ht="15" thickBot="1" x14ac:dyDescent="0.4">
      <c r="F34" s="61" t="s">
        <v>200</v>
      </c>
      <c r="G34" s="61"/>
      <c r="H34" s="61"/>
      <c r="I34" s="43">
        <f>I32/(1+C67)^6</f>
        <v>529465.82543538592</v>
      </c>
    </row>
    <row r="35" spans="1:11" ht="15.5" thickTop="1" thickBot="1" x14ac:dyDescent="0.4">
      <c r="B35" s="27" t="s">
        <v>212</v>
      </c>
      <c r="C35" s="44">
        <f>C32/C33</f>
        <v>1545.0474157660692</v>
      </c>
      <c r="F35" s="60"/>
      <c r="G35" s="60"/>
      <c r="H35" s="60"/>
    </row>
    <row r="36" spans="1:11" ht="15" thickTop="1" x14ac:dyDescent="0.35">
      <c r="F36" s="60" t="s">
        <v>196</v>
      </c>
      <c r="G36" s="60"/>
      <c r="H36" s="60"/>
    </row>
    <row r="37" spans="1:11" x14ac:dyDescent="0.35">
      <c r="B37" s="4" t="s">
        <v>171</v>
      </c>
      <c r="F37" s="60"/>
      <c r="G37" s="60"/>
      <c r="H37" s="60"/>
    </row>
    <row r="38" spans="1:11" x14ac:dyDescent="0.35">
      <c r="F38" s="60" t="s">
        <v>201</v>
      </c>
      <c r="G38" s="60"/>
      <c r="H38" s="60"/>
      <c r="I38" s="2">
        <f>K8+CFS!K9</f>
        <v>138355.49779173828</v>
      </c>
    </row>
    <row r="39" spans="1:11" x14ac:dyDescent="0.35">
      <c r="B39" t="s">
        <v>172</v>
      </c>
      <c r="C39" s="16">
        <v>7.0000000000000007E-2</v>
      </c>
      <c r="F39" s="60" t="s">
        <v>202</v>
      </c>
      <c r="G39" s="60"/>
      <c r="H39" s="60"/>
      <c r="I39" s="23">
        <v>14</v>
      </c>
    </row>
    <row r="40" spans="1:11" ht="15" thickBot="1" x14ac:dyDescent="0.4">
      <c r="B40" t="s">
        <v>173</v>
      </c>
      <c r="C40">
        <v>1.05</v>
      </c>
      <c r="F40" s="60"/>
      <c r="G40" s="60"/>
      <c r="H40" s="60"/>
      <c r="I40" s="2">
        <f>I38*I39</f>
        <v>1936976.969084336</v>
      </c>
    </row>
    <row r="41" spans="1:11" ht="15" thickBot="1" x14ac:dyDescent="0.4">
      <c r="B41" t="s">
        <v>174</v>
      </c>
      <c r="C41" s="16">
        <v>0.06</v>
      </c>
      <c r="F41" s="61" t="s">
        <v>200</v>
      </c>
      <c r="G41" s="61"/>
      <c r="H41" s="61"/>
      <c r="I41" s="43">
        <f>I40/(1+C67)^6</f>
        <v>917110.43872982007</v>
      </c>
    </row>
    <row r="42" spans="1:11" ht="15.5" thickTop="1" thickBot="1" x14ac:dyDescent="0.4">
      <c r="F42" s="60"/>
      <c r="G42" s="60"/>
      <c r="H42" s="60"/>
    </row>
    <row r="43" spans="1:11" ht="15" thickBot="1" x14ac:dyDescent="0.4">
      <c r="B43" s="27" t="s">
        <v>175</v>
      </c>
      <c r="C43" s="45">
        <f>C39+C40*C41</f>
        <v>0.13300000000000001</v>
      </c>
      <c r="E43" t="s">
        <v>17</v>
      </c>
      <c r="F43" s="60" t="s">
        <v>203</v>
      </c>
      <c r="G43" s="60"/>
      <c r="H43" s="60"/>
      <c r="I43" s="24">
        <v>2</v>
      </c>
    </row>
    <row r="44" spans="1:11" ht="15.5" thickTop="1" thickBot="1" x14ac:dyDescent="0.4">
      <c r="F44" s="60"/>
      <c r="G44" s="60"/>
      <c r="H44" s="60"/>
    </row>
    <row r="45" spans="1:11" ht="15" thickBot="1" x14ac:dyDescent="0.4">
      <c r="F45" s="61" t="s">
        <v>200</v>
      </c>
      <c r="G45" s="61"/>
      <c r="H45" s="61" t="s">
        <v>182</v>
      </c>
      <c r="I45" s="43">
        <f>IF(I43=1,I34,I41)</f>
        <v>917110.43872982007</v>
      </c>
    </row>
    <row r="46" spans="1:11" s="58" customFormat="1" ht="15" thickTop="1" x14ac:dyDescent="0.35">
      <c r="A46"/>
      <c r="B46" t="s">
        <v>176</v>
      </c>
      <c r="C46" s="6">
        <v>812.54110000000003</v>
      </c>
      <c r="D46"/>
      <c r="E46" s="58" t="s">
        <v>181</v>
      </c>
      <c r="J46" s="58" t="s">
        <v>183</v>
      </c>
      <c r="K46" s="58" t="s">
        <v>190</v>
      </c>
    </row>
    <row r="47" spans="1:11" s="58" customFormat="1" x14ac:dyDescent="0.35">
      <c r="A47"/>
      <c r="B47" t="s">
        <v>177</v>
      </c>
      <c r="C47" s="2">
        <f>SUM(G50,J50)</f>
        <v>0</v>
      </c>
      <c r="D47"/>
      <c r="E47" s="58">
        <v>40</v>
      </c>
      <c r="F47" s="58">
        <v>1500</v>
      </c>
      <c r="G47" s="59">
        <v>0</v>
      </c>
      <c r="H47" s="58">
        <v>4000</v>
      </c>
      <c r="I47" s="58">
        <v>800</v>
      </c>
    </row>
    <row r="48" spans="1:11" s="58" customFormat="1" x14ac:dyDescent="0.35">
      <c r="A48"/>
      <c r="B48" t="s">
        <v>178</v>
      </c>
      <c r="C48" s="2">
        <f>SUM(C46:C47)</f>
        <v>812.54110000000003</v>
      </c>
      <c r="D48"/>
      <c r="E48" s="58">
        <v>50</v>
      </c>
      <c r="F48" s="58">
        <v>2000</v>
      </c>
      <c r="G48" s="59"/>
      <c r="H48" s="58">
        <v>3000</v>
      </c>
      <c r="I48" s="58">
        <v>2500</v>
      </c>
    </row>
    <row r="49" spans="1:7" s="58" customFormat="1" ht="15" thickBot="1" x14ac:dyDescent="0.4">
      <c r="A49"/>
      <c r="B49" t="s">
        <v>179</v>
      </c>
      <c r="C49" s="6">
        <v>1825</v>
      </c>
      <c r="D49"/>
      <c r="E49" s="58">
        <v>30</v>
      </c>
      <c r="F49" s="58">
        <v>1200</v>
      </c>
      <c r="G49" s="59"/>
    </row>
    <row r="50" spans="1:7" s="58" customFormat="1" ht="15" thickBot="1" x14ac:dyDescent="0.4">
      <c r="A50"/>
      <c r="B50" s="27" t="s">
        <v>180</v>
      </c>
      <c r="C50" s="43">
        <f>C49*C48</f>
        <v>1482887.5075000001</v>
      </c>
      <c r="D50"/>
      <c r="G50" s="59"/>
    </row>
    <row r="51" spans="1:7" s="58" customFormat="1" ht="15" thickTop="1" x14ac:dyDescent="0.35">
      <c r="A51"/>
      <c r="B51"/>
      <c r="C51"/>
      <c r="D51"/>
      <c r="E51" s="58">
        <f>E47*F47/C49</f>
        <v>32.876712328767127</v>
      </c>
    </row>
    <row r="52" spans="1:7" s="58" customFormat="1" x14ac:dyDescent="0.35">
      <c r="A52"/>
      <c r="B52" t="s">
        <v>172</v>
      </c>
      <c r="C52" s="16">
        <f>C39</f>
        <v>7.0000000000000007E-2</v>
      </c>
      <c r="D52"/>
      <c r="E52" s="58">
        <f>40-E51</f>
        <v>7.1232876712328732</v>
      </c>
    </row>
    <row r="53" spans="1:7" x14ac:dyDescent="0.35">
      <c r="B53" t="s">
        <v>184</v>
      </c>
      <c r="C53" s="16">
        <v>0.04</v>
      </c>
    </row>
    <row r="55" spans="1:7" x14ac:dyDescent="0.35">
      <c r="B55" t="s">
        <v>185</v>
      </c>
      <c r="C55" s="16">
        <f>SUM(C52,C53)</f>
        <v>0.11000000000000001</v>
      </c>
    </row>
    <row r="56" spans="1:7" x14ac:dyDescent="0.35">
      <c r="B56" t="s">
        <v>186</v>
      </c>
      <c r="C56" s="10">
        <f>C55*(1-F9)</f>
        <v>8.1400000000000014E-2</v>
      </c>
    </row>
    <row r="58" spans="1:7" x14ac:dyDescent="0.35">
      <c r="B58" t="s">
        <v>156</v>
      </c>
      <c r="C58" s="2">
        <f>BS!E55</f>
        <v>2558.37</v>
      </c>
    </row>
    <row r="59" spans="1:7" x14ac:dyDescent="0.35">
      <c r="B59" t="s">
        <v>187</v>
      </c>
      <c r="C59" s="2">
        <f>BS!E46</f>
        <v>5359.88</v>
      </c>
    </row>
    <row r="60" spans="1:7" x14ac:dyDescent="0.35">
      <c r="B60" t="s">
        <v>188</v>
      </c>
      <c r="C60" s="2">
        <f>BS!E56+BS!E47</f>
        <v>584.04999999999995</v>
      </c>
    </row>
    <row r="62" spans="1:7" x14ac:dyDescent="0.35">
      <c r="B62" t="s">
        <v>189</v>
      </c>
      <c r="C62" s="17">
        <f>SUM(C58:C60)-K50</f>
        <v>8502.2999999999993</v>
      </c>
    </row>
    <row r="64" spans="1:7" x14ac:dyDescent="0.35">
      <c r="B64" t="s">
        <v>191</v>
      </c>
      <c r="C64" s="15">
        <f>C50/(C50+C62)</f>
        <v>0.99429907596441713</v>
      </c>
    </row>
    <row r="65" spans="2:3" x14ac:dyDescent="0.35">
      <c r="B65" t="s">
        <v>192</v>
      </c>
      <c r="C65" s="15">
        <f>1-C64</f>
        <v>5.7009240355828661E-3</v>
      </c>
    </row>
    <row r="66" spans="2:3" ht="15" thickBot="1" x14ac:dyDescent="0.4"/>
    <row r="67" spans="2:3" ht="15" thickBot="1" x14ac:dyDescent="0.4">
      <c r="B67" s="27" t="s">
        <v>193</v>
      </c>
      <c r="C67" s="63">
        <f>(C65*C56)+(C64*C43)</f>
        <v>0.13270583231976393</v>
      </c>
    </row>
    <row r="68" spans="2:3" ht="15" thickTop="1" x14ac:dyDescent="0.35"/>
  </sheetData>
  <sheetProtection algorithmName="SHA-512" hashValue="vKci3OcETojTCWSzDwrlA1gr/9xLkGP/7UQz6X8tcmIT/J+H6fdjzUoxW/1riWq3+Si4bcCdZo9r6Fwjt0RoTA==" saltValue="SNTr/A7XesPbTZxXPRkQYQ==" spinCount="100000" sheet="1" objects="1" scenarios="1"/>
  <mergeCells count="18">
    <mergeCell ref="F44:H44"/>
    <mergeCell ref="F45:H45"/>
    <mergeCell ref="F26:I26"/>
    <mergeCell ref="F28:H28"/>
    <mergeCell ref="F38:H38"/>
    <mergeCell ref="F39:H39"/>
    <mergeCell ref="F40:H40"/>
    <mergeCell ref="F41:H41"/>
    <mergeCell ref="F42:H42"/>
    <mergeCell ref="F43:H43"/>
    <mergeCell ref="F30:H30"/>
    <mergeCell ref="F31:H31"/>
    <mergeCell ref="F32:H32"/>
    <mergeCell ref="F33:H33"/>
    <mergeCell ref="F34:H34"/>
    <mergeCell ref="F35:H35"/>
    <mergeCell ref="F36:H36"/>
    <mergeCell ref="F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IS</vt:lpstr>
      <vt:lpstr>Revenue Model</vt:lpstr>
      <vt:lpstr>Expense</vt:lpstr>
      <vt:lpstr>CFS</vt:lpstr>
      <vt:lpstr>Revised IS</vt:lpstr>
      <vt:lpstr>BS</vt:lpstr>
      <vt:lpstr>BS shcedule</vt:lpstr>
      <vt:lpstr>Debt</vt:lpstr>
      <vt:lpstr>Dcf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Nitansh Deep</dc:creator>
  <cp:lastModifiedBy>Nitansh Deep</cp:lastModifiedBy>
  <cp:lastPrinted>2026-05-25T10:34:49Z</cp:lastPrinted>
  <dcterms:created xsi:type="dcterms:W3CDTF">2026-05-23T17:09:52Z</dcterms:created>
  <dcterms:modified xsi:type="dcterms:W3CDTF">2026-06-14T06:33:44Z</dcterms:modified>
</cp:coreProperties>
</file>